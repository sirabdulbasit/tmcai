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Infra (Actual)" sheetId="1" state="visible" r:id="rId3"/>
    <sheet name="What Runs Where" sheetId="2" state="visible" r:id="rId4"/>
    <sheet name="Credit Burn-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<sst xmlns="http://schemas.openxmlformats.org/spreadsheetml/2006/main" count="264" uniqueCount="234">
  <si>
    <t xml:space="preserve">ACTUAL COST ANALYSIS: Your Infrastructure (Ubuntu Server + GCP $14K Credit)</t>
  </si>
  <si>
    <t xml:space="preserve">Based on: Existing Ubuntu machine with PostgreSQL (local DB) + GCP $14,000 credit covering ALL services including Gemini Pro LLM APIs.</t>
  </si>
  <si>
    <t xml:space="preserve">ASSUMPTIONS:  Ubuntu = existing (sunk cost)  |  PostgreSQL + Redis = local on Ubuntu  |  GCP $14K credit = covers Gemini Pro, Flash, Embedding APIs + BigQuery + Cloud Storage + all GCP services  |  Out-of-pocket = $0/mo until credit exhausted</t>
  </si>
  <si>
    <t xml:space="preserve">#</t>
  </si>
  <si>
    <t xml:space="preserve">Infrastructure Item</t>
  </si>
  <si>
    <t xml:space="preserve">What It Does</t>
  </si>
  <si>
    <t xml:space="preserve">HaseebOS
Full GCP ($)</t>
  </si>
  <si>
    <t xml:space="preserve">TMCAI Hybrid
(Ubuntu+GCP) ($)</t>
  </si>
  <si>
    <t xml:space="preserve">Savings ($)</t>
  </si>
  <si>
    <t xml:space="preserve">Save %</t>
  </si>
  <si>
    <t xml:space="preserve">Notes / Where It Runs</t>
  </si>
  <si>
    <t xml:space="preserve">COMPUTE</t>
  </si>
  <si>
    <t xml:space="preserve">Main API Server (Express + Node)</t>
  </si>
  <si>
    <t xml:space="preserve">TMCAI Express 5 API: routes, middleware, auth, all business logic</t>
  </si>
  <si>
    <t xml:space="preserve">Ubuntu server (existing) — Node.js runs locally; no Cloud Run needed for API</t>
  </si>
  <si>
    <t xml:space="preserve">Agent Worker Process</t>
  </si>
  <si>
    <t xml:space="preserve">7 ADK agents: Brain Orchestrator + 6 workers; LLM calls to Gemini/Claude</t>
  </si>
  <si>
    <t xml:space="preserve">Ubuntu server — agent workers run as Node.js processes (PM2 managed); LLM calls go outbound to API</t>
  </si>
  <si>
    <t xml:space="preserve">Frontend (React + Vite)</t>
  </si>
  <si>
    <t xml:space="preserve">React 19 SPA served to browser</t>
  </si>
  <si>
    <t xml:space="preserve">Ubuntu server — Nginx serves static build; or free tier Cloudflare Pages / Vercel</t>
  </si>
  <si>
    <t xml:space="preserve">PM2 Process Manager</t>
  </si>
  <si>
    <t xml:space="preserve">Process management, restart on crash, log rotation</t>
  </si>
  <si>
    <t xml:space="preserve">Ubuntu — PM2 is free, already standard for Node.js production</t>
  </si>
  <si>
    <t xml:space="preserve">Cloud Functions (BQ Export)</t>
  </si>
  <si>
    <t xml:space="preserve">Nightly PG→BQ export for decision archive + analytics</t>
  </si>
  <si>
    <t xml:space="preserve">Must run on GCP to access BigQuery efficiently; lightweight function</t>
  </si>
  <si>
    <t xml:space="preserve">Cloud Scheduler</t>
  </si>
  <si>
    <t xml:space="preserve">Cron triggers for BQ export jobs</t>
  </si>
  <si>
    <t xml:space="preserve">GCP — $0.10/job/month; minimal cost for 2-3 scheduled jobs</t>
  </si>
  <si>
    <t xml:space="preserve">COMPUTE SUBTOTAL</t>
  </si>
  <si>
    <t xml:space="preserve">DATABASE &amp; STORAGE</t>
  </si>
  <si>
    <t xml:space="preserve">PostgreSQL (Primary DB)</t>
  </si>
  <si>
    <t xml:space="preserve">All 49+ tables, tenant data, decision log (operational), open items, actions, agents — everything</t>
  </si>
  <si>
    <t xml:space="preserve">Ubuntu server — PostgreSQL already installed and running locally; zero cloud cost</t>
  </si>
  <si>
    <t xml:space="preserve">PostgreSQL Read Replica</t>
  </si>
  <si>
    <t xml:space="preserve">Read-heavy queries: dashboards, reports, analytics, search</t>
  </si>
  <si>
    <t xml:space="preserve">Ubuntu — can run a local replica on same machine or skip entirely (single machine handles the load at current scale)</t>
  </si>
  <si>
    <t xml:space="preserve">Redis</t>
  </si>
  <si>
    <t xml:space="preserve">Kill switch flags, idempotency (SETNX), circuit breaker state, caching, notification queue</t>
  </si>
  <si>
    <t xml:space="preserve">Ubuntu server — install Redis locally (apt install redis-server); runs alongside PG; zero cloud cost</t>
  </si>
  <si>
    <t xml:space="preserve">BigQuery — Decision Archive</t>
  </si>
  <si>
    <t xml:space="preserve">Immutable 3-layer decision log (Layer 1 archive); shadow evaluation history; steering analytics</t>
  </si>
  <si>
    <t xml:space="preserve">GCP only — BQ is cloud-native; can't self-host. But smaller dataset from single-tenant = lower cost. First 1TB/mo query free.</t>
  </si>
  <si>
    <t xml:space="preserve">Cloud Storage — Golden Datasets</t>
  </si>
  <si>
    <t xml:space="preserve">Golden dataset content, BQ export staging, large document backups</t>
  </si>
  <si>
    <t xml:space="preserve">GCP — for BQ staging and golden dataset content that BQ references; local docs stay on Ubuntu</t>
  </si>
  <si>
    <t xml:space="preserve">Local File Storage (Ubuntu)</t>
  </si>
  <si>
    <t xml:space="preserve">Knowledge base docs, SOPs, org structure, uploaded files, RAG pipeline documents</t>
  </si>
  <si>
    <t xml:space="preserve">Ubuntu — local disk; already available; TMCAI file upload service writes to local /data/ directory</t>
  </si>
  <si>
    <t xml:space="preserve">DATABASE SUBTOTAL</t>
  </si>
  <si>
    <t xml:space="preserve">MESSAGING &amp; EVENTS</t>
  </si>
  <si>
    <t xml:space="preserve">Pub/Sub — 4 Topics + DLQs</t>
  </si>
  <si>
    <t xml:space="preserve">Event backbone: feed.raw, openitems.scored, actions.approved, steering.snapshot</t>
  </si>
  <si>
    <t xml:space="preserve">GCP — Pub/Sub is cloud-native; can't self-host; but can use BullMQ (Redis-based) as alternative for $0</t>
  </si>
  <si>
    <t xml:space="preserve">Pub/Sub Alternative: BullMQ on Redis</t>
  </si>
  <si>
    <t xml:space="preserve">If using local Redis instead of GCP Pub/Sub — BullMQ provides same pub/sub + DLQ + retry semantics</t>
  </si>
  <si>
    <t xml:space="preserve">Ubuntu + Redis — BullMQ is free npm package; runs on local Redis; equivalent functionality for single-server</t>
  </si>
  <si>
    <t xml:space="preserve">MESSAGING SUBTOTAL</t>
  </si>
  <si>
    <t xml:space="preserve">NETWORKING, SECURITY &amp; MONITORING</t>
  </si>
  <si>
    <t xml:space="preserve">VPC Connector</t>
  </si>
  <si>
    <t xml:space="preserve">Serverless VPC Access for Cloud Functions → BQ</t>
  </si>
  <si>
    <t xml:space="preserve">GCP — only needed for Cloud Function → BQ access; minimal traffic</t>
  </si>
  <si>
    <t xml:space="preserve">Secret Manager</t>
  </si>
  <si>
    <t xml:space="preserve">BQ credentials, API keys for Gemini/Claude/OpenAI</t>
  </si>
  <si>
    <t xml:space="preserve">GCP — store cloud API keys; local secrets can use .env + dotenv on Ubuntu</t>
  </si>
  <si>
    <t xml:space="preserve">Nginx + Let's Encrypt</t>
  </si>
  <si>
    <t xml:space="preserve">Reverse proxy, SSL termination, rate limiting, static file serving</t>
  </si>
  <si>
    <t xml:space="preserve">Ubuntu — Nginx is free; Let's Encrypt SSL is free; replaces Cloud Load Balancer + Cloud Armor</t>
  </si>
  <si>
    <t xml:space="preserve">Monitoring (Prometheus + Grafana)</t>
  </si>
  <si>
    <t xml:space="preserve">Dashboards, alerting, metrics collection, system health</t>
  </si>
  <si>
    <t xml:space="preserve">Ubuntu — Prometheus + Grafana are free self-hosted; replaces Cloud Monitoring ($60/mo); better customization</t>
  </si>
  <si>
    <t xml:space="preserve">Log Management (Loki or local)</t>
  </si>
  <si>
    <t xml:space="preserve">Structured logging, log rotation, search</t>
  </si>
  <si>
    <t xml:space="preserve">Ubuntu — Grafana Loki (free) or simple Winston + log rotation; replaces Cloud Logging</t>
  </si>
  <si>
    <t xml:space="preserve">Cloudflare (DNS + CDN + DDoS)</t>
  </si>
  <si>
    <t xml:space="preserve">DNS, CDN for static assets, DDoS protection, WAF</t>
  </si>
  <si>
    <t xml:space="preserve">Cloudflare free tier: DNS + CDN + basic DDoS protection; replaces Cloud CDN ($20) + partial Cloud Armor</t>
  </si>
  <si>
    <t xml:space="preserve">Ubuntu Server Maintenance</t>
  </si>
  <si>
    <t xml:space="preserve">OS updates, security patches, disk monitoring, backup scripts</t>
  </si>
  <si>
    <t xml:space="preserve">Monthly maintenance time (~2hrs at $7.5/hr); includes automated backup to GCS for disaster recovery</t>
  </si>
  <si>
    <t xml:space="preserve">NETWORKING SUBTOTAL</t>
  </si>
  <si>
    <t xml:space="preserve">AI / LLM API COSTS (per ~50 tenants)</t>
  </si>
  <si>
    <t xml:space="preserve">Gemini 2.5 Pro — Brain Orchestrator</t>
  </si>
  <si>
    <t xml:space="preserve">Primary model; ~500 queries/day via Vertex AI API; billed to GCP project = covered by $14K credit</t>
  </si>
  <si>
    <t xml:space="preserve">COVERED BY GCP CREDIT — Vertex AI Gemini API charges bill to same GCP project; zero out-of-pocket</t>
  </si>
  <si>
    <t xml:space="preserve">Gemini Flash — 6 Worker Agents</t>
  </si>
  <si>
    <t xml:space="preserve">Worker agents; high volume via Vertex AI; lower cost per token; billed to GCP project</t>
  </si>
  <si>
    <t xml:space="preserve">COVERED BY GCP CREDIT — Flash is very cheap ($0.075/1M input); high volume but low cost</t>
  </si>
  <si>
    <t xml:space="preserve">Gemini Embedding API</t>
  </si>
  <si>
    <t xml:space="preserve">Vector embeddings for RAG pipeline knowledge base via Vertex AI</t>
  </si>
  <si>
    <t xml:space="preserve">COVERED BY GCP CREDIT — text-embedding model billed to GCP project</t>
  </si>
  <si>
    <t xml:space="preserve">Claude/GPT-4o/Groq (Optional Fallback)</t>
  </si>
  <si>
    <t xml:space="preserve">Multi-provider fallback; these are NOT on GCP credit — billed by Anthropic/OpenAI directly</t>
  </si>
  <si>
    <t xml:space="preserve">NOT NEEDED if using Gemini-only via GCP. If added later: ~$150/mo out-of-pocket (optional)</t>
  </si>
  <si>
    <t xml:space="preserve">AI/LLM SUBTOTAL</t>
  </si>
  <si>
    <t xml:space="preserve">GRAND TOTAL (Monthly)</t>
  </si>
  <si>
    <t xml:space="preserve">Ubuntu handles compute+DB+Redis+monitoring; GCP only for BQ+Storage+Pub/Sub+LLM</t>
  </si>
  <si>
    <t xml:space="preserve">ANNUAL TOTAL</t>
  </si>
  <si>
    <t xml:space="preserve">GCP $14,000 CREDIT ANALYSIS</t>
  </si>
  <si>
    <t xml:space="preserve">GCP-only spend (TMCAI hybrid)</t>
  </si>
  <si>
    <t xml:space="preserve">Services that MUST be on GCP: BigQuery, Cloud Storage, Cloud Functions, Scheduler, VPC, Secrets, Pub/Sub (optional)</t>
  </si>
  <si>
    <t xml:space="preserve">$146/mo if keeping Pub/Sub; $86/mo if using BullMQ on Redis instead</t>
  </si>
  <si>
    <t xml:space="preserve">GCP-only spend (with BullMQ)</t>
  </si>
  <si>
    <t xml:space="preserve">BullMQ replaces Pub/Sub on local Redis — eliminates $60/mo cloud messaging cost</t>
  </si>
  <si>
    <t xml:space="preserve">$86/mo = only BQ + Storage + Functions + Scheduler + VPC + Secrets</t>
  </si>
  <si>
    <t xml:space="preserve">GCP infra-only spend</t>
  </si>
  <si>
    <t xml:space="preserve">Infra only (excl LLM): BQ + Storage + Functions + Scheduler + VPC + Secrets + Pub/Sub</t>
  </si>
  <si>
    <t xml:space="preserve">$146/mo with Pub/Sub; $86/mo with BullMQ</t>
  </si>
  <si>
    <t xml:space="preserve">Gemini LLM costs (on GCP credit)</t>
  </si>
  <si>
    <t xml:space="preserve">Gemini Pro ($400) + Flash ($300) + Embedding ($50) all billed to GCP project</t>
  </si>
  <si>
    <t xml:space="preserve">ALL Gemini API costs via Vertex AI bill to GCP project = covered by $14K credit</t>
  </si>
  <si>
    <t xml:space="preserve">Total GCP spend (infra + LLM)</t>
  </si>
  <si>
    <t xml:space="preserve">All GCP services + Gemini APIs combined = total credit burn rate</t>
  </si>
  <si>
    <t xml:space="preserve">$896/mo with Pub/Sub ($146 infra + $750 LLM) or $836/mo with BullMQ ($86 infra + $750 LLM)</t>
  </si>
  <si>
    <t xml:space="preserve">Credit runway (with Pub/Sub + LLM)</t>
  </si>
  <si>
    <t xml:space="preserve">$14K / $896 per month = total runway including all Gemini API costs</t>
  </si>
  <si>
    <t xml:space="preserve">~15.6 months of EVERYTHING (infra + LLM) covered by credit</t>
  </si>
  <si>
    <t xml:space="preserve">Credit runway (BullMQ + LLM)</t>
  </si>
  <si>
    <t xml:space="preserve">$14K / $836 per month = runway with BullMQ replacing Pub/Sub</t>
  </si>
  <si>
    <t xml:space="preserve">~16.7 months — saves 1+ month by eliminating Pub/Sub cost</t>
  </si>
  <si>
    <t xml:space="preserve">Dev phase runway (months 1-6)</t>
  </si>
  <si>
    <t xml:space="preserve">During development: lighter LLM usage (~$200/mo) + infra = $286-346/mo</t>
  </si>
  <si>
    <t xml:space="preserve">Dev: ~40 months (Pub/Sub) or ~49 months (BullMQ at $286/mo). Realistically 20+ months blended.</t>
  </si>
  <si>
    <t xml:space="preserve">Out-of-pocket cost</t>
  </si>
  <si>
    <t xml:space="preserve">Monthly cash expense until GCP credit is exhausted</t>
  </si>
  <si>
    <t xml:space="preserve">$0/mo out-of-pocket! Everything burns from GCP credit until exhausted.</t>
  </si>
  <si>
    <t xml:space="preserve">After credit exhausted</t>
  </si>
  <si>
    <t xml:space="preserve">Once $14K credit runs out, monthly GCP bill becomes out-of-pocket</t>
  </si>
  <si>
    <t xml:space="preserve">~$836/mo (BullMQ) should be covered by SaaS subscription revenue by then</t>
  </si>
  <si>
    <t xml:space="preserve">BOTTOM LINE: $0/mo out-of-pocket! ALL costs (infra + Gemini LLM) burn from GCP $14K credit. Runway = ~15-17 months at full production; 20+ months with dev phase ramp. After credit: ~$836/mo covered by SaaS revenue. Ubuntu handles compute+DB+Redis+monitoring at $0.</t>
  </si>
  <si>
    <t xml:space="preserve">ARCHITECTURE MAP: Ubuntu Server vs GCP — What Runs Where</t>
  </si>
  <si>
    <t xml:space="preserve">Service / Component</t>
  </si>
  <si>
    <t xml:space="preserve">Runs On</t>
  </si>
  <si>
    <t xml:space="preserve">Monthly Cost</t>
  </si>
  <si>
    <t xml:space="preserve">Why Here</t>
  </si>
  <si>
    <t xml:space="preserve">UBUNTU SERVER (Your Existing Machine)</t>
  </si>
  <si>
    <t xml:space="preserve">Node.js API (Express 5)</t>
  </si>
  <si>
    <t xml:space="preserve">Ubuntu (PM2)</t>
  </si>
  <si>
    <t xml:space="preserve">$0</t>
  </si>
  <si>
    <t xml:space="preserve">Already running; PM2 manages process lifecycle, restarts, clustering</t>
  </si>
  <si>
    <t xml:space="preserve">7 ADK Agent Workers</t>
  </si>
  <si>
    <t xml:space="preserve">Agent processes run alongside API; PM2 manages each as separate process; LLM calls go outbound</t>
  </si>
  <si>
    <t xml:space="preserve">PostgreSQL 16+</t>
  </si>
  <si>
    <t xml:space="preserve">Ubuntu (local)</t>
  </si>
  <si>
    <t xml:space="preserve">Already installed; all 49+ tables; tenant-isolated; handles ACID, queries, joins natively</t>
  </si>
  <si>
    <t xml:space="preserve">Redis 7+</t>
  </si>
  <si>
    <t xml:space="preserve">apt install redis-server; kill switch, idempotency SETNX, circuit breakers, BullMQ queues</t>
  </si>
  <si>
    <t xml:space="preserve">BullMQ (Job Queue)</t>
  </si>
  <si>
    <t xml:space="preserve">Ubuntu (Redis)</t>
  </si>
  <si>
    <t xml:space="preserve">npm package; replaces GCP Pub/Sub; provides: named queues, DLQ, retry with backoff, priority, concurrency control</t>
  </si>
  <si>
    <t xml:space="preserve">Nginx (Reverse Proxy)</t>
  </si>
  <si>
    <t xml:space="preserve">Ubuntu</t>
  </si>
  <si>
    <t xml:space="preserve">SSL termination (Let's Encrypt), rate limiting, static file serving, load balancing between PM2 workers</t>
  </si>
  <si>
    <t xml:space="preserve">Prometheus + Grafana</t>
  </si>
  <si>
    <t xml:space="preserve">Metrics collection + dashboards; replaces Cloud Monitoring; better customization; self-hosted</t>
  </si>
  <si>
    <t xml:space="preserve">Grafana Loki (Logs)</t>
  </si>
  <si>
    <t xml:space="preserve">Log aggregation + search; replaces Cloud Logging; integrates with Grafana dashboards</t>
  </si>
  <si>
    <t xml:space="preserve">File Storage (KB docs, uploads)</t>
  </si>
  <si>
    <t xml:space="preserve">Ubuntu (/data/)</t>
  </si>
  <si>
    <t xml:space="preserve">Knowledge base docs, SOPs, org structure, uploaded files — local disk with backup to GCS</t>
  </si>
  <si>
    <t xml:space="preserve">Certbot (SSL)</t>
  </si>
  <si>
    <t xml:space="preserve">Auto-renewing Let's Encrypt certificates; free SSL for all domains</t>
  </si>
  <si>
    <t xml:space="preserve">GCP (Cloud-Only Services — Paid from $14K Credit)</t>
  </si>
  <si>
    <t xml:space="preserve">BigQuery</t>
  </si>
  <si>
    <t xml:space="preserve">GCP</t>
  </si>
  <si>
    <t xml:space="preserve">~$50/mo</t>
  </si>
  <si>
    <t xml:space="preserve">Cloud-native analytics warehouse; can't self-host; immutable decision archive + steering analytics</t>
  </si>
  <si>
    <t xml:space="preserve">Cloud Storage</t>
  </si>
  <si>
    <t xml:space="preserve">~$8/mo</t>
  </si>
  <si>
    <t xml:space="preserve">Golden dataset content, BQ export staging, disaster recovery backups from Ubuntu</t>
  </si>
  <si>
    <t xml:space="preserve">Cloud Functions</t>
  </si>
  <si>
    <t xml:space="preserve">~$15/mo</t>
  </si>
  <si>
    <t xml:space="preserve">Nightly PG→BQ export jobs; lightweight; triggered by Cloud Scheduler</t>
  </si>
  <si>
    <t xml:space="preserve">~$5/mo</t>
  </si>
  <si>
    <t xml:space="preserve">Cron triggers for BQ export; 2-3 jobs; minimal cost</t>
  </si>
  <si>
    <t xml:space="preserve">Cloud Function → BQ private access; minimal traffic</t>
  </si>
  <si>
    <t xml:space="preserve">~$3/mo</t>
  </si>
  <si>
    <t xml:space="preserve">Store BQ credentials, backup encryption keys; 5-10 secrets</t>
  </si>
  <si>
    <t xml:space="preserve">Pub/Sub (OPTIONAL)</t>
  </si>
  <si>
    <t xml:space="preserve">$0-60/mo</t>
  </si>
  <si>
    <t xml:space="preserve">Only if you prefer cloud Pub/Sub over BullMQ; BullMQ on local Redis is recommended at current scale</t>
  </si>
  <si>
    <t xml:space="preserve">Gemini 2.5 Pro (Vertex AI)</t>
  </si>
  <si>
    <t xml:space="preserve">~$400/mo</t>
  </si>
  <si>
    <t xml:space="preserve">Brain Orchestrator LLM; billed via Vertex AI to GCP project = covered by $14K credit</t>
  </si>
  <si>
    <t xml:space="preserve">Gemini Flash (Vertex AI)</t>
  </si>
  <si>
    <t xml:space="preserve">~$300/mo</t>
  </si>
  <si>
    <t xml:space="preserve">6 Worker Agent LLM; high volume, low cost per token; billed to GCP project</t>
  </si>
  <si>
    <t xml:space="preserve">Gemini Embedding (Vertex AI)</t>
  </si>
  <si>
    <t xml:space="preserve">Vector embeddings for RAG pipeline; text-embedding model billed to GCP project</t>
  </si>
  <si>
    <t xml:space="preserve">OPTIONAL EXTERNAL APIS (NOT on GCP Credit — Only if Needed)</t>
  </si>
  <si>
    <t xml:space="preserve">Claude API (Optional Fallback)</t>
  </si>
  <si>
    <t xml:space="preserve">Anthropic</t>
  </si>
  <si>
    <t xml:space="preserve">$0 (optional)</t>
  </si>
  <si>
    <t xml:space="preserve">Not needed if using Gemini-only. If added: ~$100/mo out-of-pocket for specific tasks</t>
  </si>
  <si>
    <t xml:space="preserve">GPT-4o / Groq (Optional Fallback)</t>
  </si>
  <si>
    <t xml:space="preserve">OpenAI / Groq</t>
  </si>
  <si>
    <t xml:space="preserve">Not needed if using Gemini-only. If added: ~$50/mo out-of-pocket for fast inference</t>
  </si>
  <si>
    <t xml:space="preserve">SUMMARY:  Ubuntu = $0/mo (10 services)  |  GCP from $14K credit = $836-896/mo (infra + Gemini LLM)  |  Out-of-pocket = $0/mo  |  Credit runway = ~15-17 months (20+ with dev ramp)</t>
  </si>
  <si>
    <t xml:space="preserve">GCP $14,000 CREDIT BURN-DOWN PROJECTION — ALL Costs from Credit (Infra + LLM)</t>
  </si>
  <si>
    <t xml:space="preserve">Gemini Pro, Flash &amp; Embedding APIs all bill to GCP project = covered by $14K credit. $0 out-of-pocket.</t>
  </si>
  <si>
    <t xml:space="preserve">Month</t>
  </si>
  <si>
    <t xml:space="preserve">Total GCP Burn
(Pub/Sub Path)</t>
  </si>
  <si>
    <t xml:space="preserve">Credit Left
(Pub/Sub Path)</t>
  </si>
  <si>
    <t xml:space="preserve">Total GCP Burn
(BullMQ Path)</t>
  </si>
  <si>
    <t xml:space="preserve">Credit Left
(BullMQ Path)</t>
  </si>
  <si>
    <t xml:space="preserve">Out-of-Pocket
Cost</t>
  </si>
  <si>
    <t xml:space="preserve">Start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</si>
  <si>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</si>
  <si>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</si>
  <si>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</si>
  <si>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</si>
  <si>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</si>
  <si>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</si>
  <si>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</si>
  <si>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</si>
  <si>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</si>
  <si>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</si>
  <si>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</si>
  <si>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</si>
  <si>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</si>
  <si>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</si>
  <si>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</si>
  <si>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</si>
  <si>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</si>
  <si>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</si>
  <si>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Month 19</t>
  </si>
  <si>
    <t xml:space="preserve">Month 20</t>
  </si>
  <si>
    <t xml:space="preserve">Month 21</t>
  </si>
  <si>
    <t xml:space="preserve">Month 22</t>
  </si>
  <si>
    <t xml:space="preserve">Month 23</t>
  </si>
  <si>
    <t xml:space="preserve">Month 24</t>
  </si>
  <si>
    <t xml:space="preserve">24-Mo Total</t>
  </si>
  <si>
    <t xml:space="preserve">Credit exhausted around month 15-17 (Pub/Sub) or month 16-17 (BullMQ). During dev phase ramp, effective runway extends to 20+ months. After credit: ~$836-896/mo becomes out-of-pocket, covered by SaaS revenue. $0 out-of-pocket until then!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</si>
</sst>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%"/>
    <numFmt numFmtId="167" formatCode="\$#,##0&quot;/mo&quot;"/>
    <numFmt numFmtId="168" formatCode="0.0&quot; months&quot;"/>
    <numFmt numFmtId="169" formatCode="0&quot; months&quot;"/>
    <numFmt numFmtId="170" formatCode="\$#,##0&quot; left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5090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b val="true"/>
      <sz val="11"/>
      <color rgb="FF4A148C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0D47A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10"/>
      <color rgb="FF2E7D3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BBDEFB"/>
        <bgColor rgb="FFD6E4F0"/>
      </patternFill>
    </fill>
    <fill>
      <patternFill patternType="solid">
        <fgColor rgb="FFFFCDD2"/>
        <bgColor rgb="FFFFE0B2"/>
      </patternFill>
    </fill>
    <fill>
      <patternFill patternType="solid">
        <fgColor rgb="FFE0E0E0"/>
        <bgColor rgb="FFD6E4F0"/>
      </patternFill>
    </fill>
    <fill>
      <patternFill patternType="solid">
        <fgColor rgb="FFFFE0B2"/>
        <bgColor rgb="FFFFCDD2"/>
      </patternFill>
    </fill>
    <fill>
      <patternFill patternType="solid">
        <fgColor rgb="FFEDE7F6"/>
        <bgColor rgb="FFE0E0E0"/>
      </patternFill>
    </fill>
    <fill>
      <patternFill patternType="solid">
        <fgColor rgb="FFE2EFDA"/>
        <bgColor rgb="FFE0E0E0"/>
      </patternFill>
    </fill>
    <fill>
      <patternFill patternType="solid">
        <fgColor rgb="FFD6E4F0"/>
        <bgColor rgb="FFE0E0E0"/>
      </patternFill>
    </fill>
    <fill>
      <patternFill patternType="solid">
        <fgColor rgb="FFFFF9C4"/>
        <bgColor rgb="FFE2EFDA"/>
      </patternFill>
    </fill>
    <fill>
      <patternFill patternType="solid">
        <fgColor rgb="FFC8E6C9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6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8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6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0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D6E4F0"/>
      <rgbColor rgb="FF4A148C"/>
      <rgbColor rgb="FFFF8080"/>
      <rgbColor rgb="FF0D47A1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E2EFDA"/>
      <rgbColor rgb="FFE0E0E0"/>
      <rgbColor rgb="FFC8E6C9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B2A4A"/>
      <rgbColor rgb="FF2E7D32"/>
      <rgbColor rgb="FF003300"/>
      <rgbColor rgb="FF333300"/>
      <rgbColor rgb="FFC62828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9.75" hidden="false" customHeight="true" outlineLevel="0" collapsed="false"/>
    <row r="5" customFormat="false" ht="39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9.75" hidden="false" customHeight="true" outlineLevel="0" collapsed="false">
      <c r="A6" s="5" t="s">
        <v>11</v>
      </c>
      <c r="B6" s="5"/>
      <c r="C6" s="5"/>
      <c r="D6" s="5"/>
      <c r="E6" s="5"/>
      <c r="F6" s="5"/>
      <c r="G6" s="5"/>
      <c r="H6" s="5"/>
    </row>
    <row r="7" customFormat="false" ht="39.75" hidden="false" customHeight="true" outlineLevel="0" collapsed="false">
      <c r="A7" s="6" t="n">
        <v>1</v>
      </c>
      <c r="B7" s="7" t="s">
        <v>12</v>
      </c>
      <c r="C7" s="7" t="s">
        <v>13</v>
      </c>
      <c r="D7" s="8" t="n">
        <v>250</v>
      </c>
      <c r="E7" s="8" t="n">
        <v>0</v>
      </c>
      <c r="F7" s="8" t="n">
        <f aca="false">D7-E7</f>
        <v>250</v>
      </c>
      <c r="G7" s="9" t="n">
        <f aca="false">IF(D7=0,0,F7/D7)</f>
        <v>1</v>
      </c>
      <c r="H7" s="7" t="s">
        <v>14</v>
      </c>
    </row>
    <row r="8" customFormat="false" ht="39.75" hidden="false" customHeight="true" outlineLevel="0" collapsed="false">
      <c r="A8" s="6" t="n">
        <v>2</v>
      </c>
      <c r="B8" s="7" t="s">
        <v>15</v>
      </c>
      <c r="C8" s="7" t="s">
        <v>16</v>
      </c>
      <c r="D8" s="8" t="n">
        <v>350</v>
      </c>
      <c r="E8" s="8" t="n">
        <v>0</v>
      </c>
      <c r="F8" s="8" t="n">
        <f aca="false">D8-E8</f>
        <v>350</v>
      </c>
      <c r="G8" s="9" t="n">
        <f aca="false">IF(D8=0,0,F8/D8)</f>
        <v>1</v>
      </c>
      <c r="H8" s="7" t="s">
        <v>17</v>
      </c>
    </row>
    <row r="9" customFormat="false" ht="39.75" hidden="false" customHeight="true" outlineLevel="0" collapsed="false">
      <c r="A9" s="6" t="n">
        <v>3</v>
      </c>
      <c r="B9" s="7" t="s">
        <v>18</v>
      </c>
      <c r="C9" s="7" t="s">
        <v>19</v>
      </c>
      <c r="D9" s="8" t="n">
        <v>80</v>
      </c>
      <c r="E9" s="8" t="n">
        <v>0</v>
      </c>
      <c r="F9" s="8" t="n">
        <f aca="false">D9-E9</f>
        <v>80</v>
      </c>
      <c r="G9" s="9" t="n">
        <f aca="false">IF(D9=0,0,F9/D9)</f>
        <v>1</v>
      </c>
      <c r="H9" s="7" t="s">
        <v>20</v>
      </c>
    </row>
    <row r="10" customFormat="false" ht="39.75" hidden="false" customHeight="true" outlineLevel="0" collapsed="false">
      <c r="A10" s="6" t="n">
        <v>4</v>
      </c>
      <c r="B10" s="7" t="s">
        <v>21</v>
      </c>
      <c r="C10" s="7" t="s">
        <v>22</v>
      </c>
      <c r="D10" s="8" t="n">
        <v>0</v>
      </c>
      <c r="E10" s="8" t="n">
        <v>0</v>
      </c>
      <c r="F10" s="8" t="n">
        <f aca="false">D10-E10</f>
        <v>0</v>
      </c>
      <c r="G10" s="9" t="n">
        <f aca="false">IF(D10=0,0,F10/D10)</f>
        <v>0</v>
      </c>
      <c r="H10" s="7" t="s">
        <v>23</v>
      </c>
    </row>
    <row r="11" customFormat="false" ht="39.75" hidden="false" customHeight="true" outlineLevel="0" collapsed="false">
      <c r="A11" s="6" t="n">
        <v>5</v>
      </c>
      <c r="B11" s="7" t="s">
        <v>24</v>
      </c>
      <c r="C11" s="7" t="s">
        <v>25</v>
      </c>
      <c r="D11" s="8" t="n">
        <v>15</v>
      </c>
      <c r="E11" s="8" t="n">
        <v>15</v>
      </c>
      <c r="F11" s="8" t="n">
        <f aca="false">D11-E11</f>
        <v>0</v>
      </c>
      <c r="G11" s="9" t="n">
        <f aca="false">IF(D11=0,0,F11/D11)</f>
        <v>0</v>
      </c>
      <c r="H11" s="7" t="s">
        <v>26</v>
      </c>
    </row>
    <row r="12" customFormat="false" ht="39.75" hidden="false" customHeight="true" outlineLevel="0" collapsed="false">
      <c r="A12" s="6" t="n">
        <v>6</v>
      </c>
      <c r="B12" s="7" t="s">
        <v>27</v>
      </c>
      <c r="C12" s="7" t="s">
        <v>28</v>
      </c>
      <c r="D12" s="8" t="n">
        <v>5</v>
      </c>
      <c r="E12" s="8" t="n">
        <v>5</v>
      </c>
      <c r="F12" s="8" t="n">
        <f aca="false">D12-E12</f>
        <v>0</v>
      </c>
      <c r="G12" s="9" t="n">
        <f aca="false">IF(D12=0,0,F12/D12)</f>
        <v>0</v>
      </c>
      <c r="H12" s="7" t="s">
        <v>29</v>
      </c>
    </row>
    <row r="13" customFormat="false" ht="39.75" hidden="false" customHeight="true" outlineLevel="0" collapsed="false">
      <c r="A13" s="10"/>
      <c r="B13" s="10" t="s">
        <v>30</v>
      </c>
      <c r="C13" s="11"/>
      <c r="D13" s="12" t="n">
        <f aca="false">SUM(D7:D12)</f>
        <v>700</v>
      </c>
      <c r="E13" s="12" t="n">
        <f aca="false">SUM(E7:E12)</f>
        <v>20</v>
      </c>
      <c r="F13" s="12" t="n">
        <f aca="false">D13-E13</f>
        <v>680</v>
      </c>
      <c r="G13" s="13" t="n">
        <f aca="false">IF(D13=0,0,F13/D13)</f>
        <v>0.971428571428571</v>
      </c>
      <c r="H13" s="14"/>
    </row>
    <row r="14" customFormat="false" ht="39.75" hidden="false" customHeight="true" outlineLevel="0" collapsed="false">
      <c r="A14" s="15" t="s">
        <v>31</v>
      </c>
      <c r="B14" s="15"/>
      <c r="C14" s="15"/>
      <c r="D14" s="15"/>
      <c r="E14" s="15"/>
      <c r="F14" s="15"/>
      <c r="G14" s="15"/>
      <c r="H14" s="15"/>
    </row>
    <row r="15" customFormat="false" ht="39.75" hidden="false" customHeight="true" outlineLevel="0" collapsed="false">
      <c r="A15" s="6" t="n">
        <v>7</v>
      </c>
      <c r="B15" s="7" t="s">
        <v>32</v>
      </c>
      <c r="C15" s="7" t="s">
        <v>33</v>
      </c>
      <c r="D15" s="8" t="n">
        <v>350</v>
      </c>
      <c r="E15" s="8" t="n">
        <v>0</v>
      </c>
      <c r="F15" s="8" t="n">
        <f aca="false">D15-E15</f>
        <v>350</v>
      </c>
      <c r="G15" s="9" t="n">
        <f aca="false">IF(D15=0,0,F15/D15)</f>
        <v>1</v>
      </c>
      <c r="H15" s="7" t="s">
        <v>34</v>
      </c>
    </row>
    <row r="16" customFormat="false" ht="39.75" hidden="false" customHeight="true" outlineLevel="0" collapsed="false">
      <c r="A16" s="6" t="n">
        <v>8</v>
      </c>
      <c r="B16" s="7" t="s">
        <v>35</v>
      </c>
      <c r="C16" s="7" t="s">
        <v>36</v>
      </c>
      <c r="D16" s="8" t="n">
        <v>150</v>
      </c>
      <c r="E16" s="8" t="n">
        <v>0</v>
      </c>
      <c r="F16" s="8" t="n">
        <f aca="false">D16-E16</f>
        <v>150</v>
      </c>
      <c r="G16" s="9" t="n">
        <f aca="false">IF(D16=0,0,F16/D16)</f>
        <v>1</v>
      </c>
      <c r="H16" s="7" t="s">
        <v>37</v>
      </c>
    </row>
    <row r="17" customFormat="false" ht="39.75" hidden="false" customHeight="true" outlineLevel="0" collapsed="false">
      <c r="A17" s="6" t="n">
        <v>9</v>
      </c>
      <c r="B17" s="7" t="s">
        <v>38</v>
      </c>
      <c r="C17" s="7" t="s">
        <v>39</v>
      </c>
      <c r="D17" s="8" t="n">
        <v>120</v>
      </c>
      <c r="E17" s="8" t="n">
        <v>0</v>
      </c>
      <c r="F17" s="8" t="n">
        <f aca="false">D17-E17</f>
        <v>120</v>
      </c>
      <c r="G17" s="9" t="n">
        <f aca="false">IF(D17=0,0,F17/D17)</f>
        <v>1</v>
      </c>
      <c r="H17" s="7" t="s">
        <v>40</v>
      </c>
    </row>
    <row r="18" customFormat="false" ht="39.75" hidden="false" customHeight="true" outlineLevel="0" collapsed="false">
      <c r="A18" s="6" t="n">
        <v>10</v>
      </c>
      <c r="B18" s="7" t="s">
        <v>41</v>
      </c>
      <c r="C18" s="7" t="s">
        <v>42</v>
      </c>
      <c r="D18" s="8" t="n">
        <v>80</v>
      </c>
      <c r="E18" s="8" t="n">
        <v>50</v>
      </c>
      <c r="F18" s="8" t="n">
        <f aca="false">D18-E18</f>
        <v>30</v>
      </c>
      <c r="G18" s="9" t="n">
        <f aca="false">IF(D18=0,0,F18/D18)</f>
        <v>0.375</v>
      </c>
      <c r="H18" s="7" t="s">
        <v>43</v>
      </c>
    </row>
    <row r="19" customFormat="false" ht="39.75" hidden="false" customHeight="true" outlineLevel="0" collapsed="false">
      <c r="A19" s="6" t="n">
        <v>11</v>
      </c>
      <c r="B19" s="7" t="s">
        <v>44</v>
      </c>
      <c r="C19" s="7" t="s">
        <v>45</v>
      </c>
      <c r="D19" s="8" t="n">
        <v>15</v>
      </c>
      <c r="E19" s="8" t="n">
        <v>8</v>
      </c>
      <c r="F19" s="8" t="n">
        <f aca="false">D19-E19</f>
        <v>7</v>
      </c>
      <c r="G19" s="9" t="n">
        <f aca="false">IF(D19=0,0,F19/D19)</f>
        <v>0.466666666666667</v>
      </c>
      <c r="H19" s="7" t="s">
        <v>46</v>
      </c>
    </row>
    <row r="20" customFormat="false" ht="39.75" hidden="false" customHeight="true" outlineLevel="0" collapsed="false">
      <c r="A20" s="6" t="n">
        <v>12</v>
      </c>
      <c r="B20" s="7" t="s">
        <v>47</v>
      </c>
      <c r="C20" s="7" t="s">
        <v>48</v>
      </c>
      <c r="D20" s="8" t="n">
        <v>0</v>
      </c>
      <c r="E20" s="8" t="n">
        <v>0</v>
      </c>
      <c r="F20" s="8" t="n">
        <f aca="false">D20-E20</f>
        <v>0</v>
      </c>
      <c r="G20" s="9" t="n">
        <f aca="false">IF(D20=0,0,F20/D20)</f>
        <v>0</v>
      </c>
      <c r="H20" s="7" t="s">
        <v>49</v>
      </c>
    </row>
    <row r="21" customFormat="false" ht="39.75" hidden="false" customHeight="true" outlineLevel="0" collapsed="false">
      <c r="A21" s="10"/>
      <c r="B21" s="10" t="s">
        <v>50</v>
      </c>
      <c r="C21" s="11"/>
      <c r="D21" s="12" t="n">
        <f aca="false">SUM(D15:D20)</f>
        <v>715</v>
      </c>
      <c r="E21" s="12" t="n">
        <f aca="false">SUM(E15:E20)</f>
        <v>58</v>
      </c>
      <c r="F21" s="12" t="n">
        <f aca="false">D21-E21</f>
        <v>657</v>
      </c>
      <c r="G21" s="13" t="n">
        <f aca="false">IF(D21=0,0,F21/D21)</f>
        <v>0.918881118881119</v>
      </c>
      <c r="H21" s="14"/>
    </row>
    <row r="22" customFormat="false" ht="39.75" hidden="false" customHeight="true" outlineLevel="0" collapsed="false">
      <c r="A22" s="16" t="s">
        <v>51</v>
      </c>
      <c r="B22" s="16"/>
      <c r="C22" s="16"/>
      <c r="D22" s="16"/>
      <c r="E22" s="16"/>
      <c r="F22" s="16"/>
      <c r="G22" s="16"/>
      <c r="H22" s="16"/>
    </row>
    <row r="23" customFormat="false" ht="39.75" hidden="false" customHeight="true" outlineLevel="0" collapsed="false">
      <c r="A23" s="6" t="n">
        <v>13</v>
      </c>
      <c r="B23" s="7" t="s">
        <v>52</v>
      </c>
      <c r="C23" s="7" t="s">
        <v>53</v>
      </c>
      <c r="D23" s="8" t="n">
        <v>60</v>
      </c>
      <c r="E23" s="8" t="n">
        <v>60</v>
      </c>
      <c r="F23" s="8" t="n">
        <f aca="false">D23-E23</f>
        <v>0</v>
      </c>
      <c r="G23" s="9" t="n">
        <f aca="false">IF(D23=0,0,F23/D23)</f>
        <v>0</v>
      </c>
      <c r="H23" s="7" t="s">
        <v>54</v>
      </c>
    </row>
    <row r="24" customFormat="false" ht="39.75" hidden="false" customHeight="true" outlineLevel="0" collapsed="false">
      <c r="A24" s="6" t="n">
        <v>14</v>
      </c>
      <c r="B24" s="7" t="s">
        <v>55</v>
      </c>
      <c r="C24" s="7" t="s">
        <v>56</v>
      </c>
      <c r="D24" s="8" t="n">
        <v>0</v>
      </c>
      <c r="E24" s="8" t="n">
        <v>0</v>
      </c>
      <c r="F24" s="8" t="n">
        <f aca="false">D24-E24</f>
        <v>0</v>
      </c>
      <c r="G24" s="9" t="n">
        <f aca="false">IF(D24=0,0,F24/D24)</f>
        <v>0</v>
      </c>
      <c r="H24" s="7" t="s">
        <v>57</v>
      </c>
    </row>
    <row r="25" customFormat="false" ht="39.75" hidden="false" customHeight="true" outlineLevel="0" collapsed="false">
      <c r="A25" s="10"/>
      <c r="B25" s="10" t="s">
        <v>58</v>
      </c>
      <c r="C25" s="11"/>
      <c r="D25" s="12" t="n">
        <f aca="false">SUM(D23:D24)</f>
        <v>60</v>
      </c>
      <c r="E25" s="12" t="n">
        <f aca="false">SUM(E23:E24)</f>
        <v>60</v>
      </c>
      <c r="F25" s="12" t="n">
        <f aca="false">D25-E25</f>
        <v>0</v>
      </c>
      <c r="G25" s="13" t="n">
        <f aca="false">IF(D25=0,0,F25/D25)</f>
        <v>0</v>
      </c>
      <c r="H25" s="14"/>
    </row>
    <row r="26" customFormat="false" ht="39.75" hidden="false" customHeight="true" outlineLevel="0" collapsed="false">
      <c r="A26" s="17" t="s">
        <v>59</v>
      </c>
      <c r="B26" s="17"/>
      <c r="C26" s="17"/>
      <c r="D26" s="17"/>
      <c r="E26" s="17"/>
      <c r="F26" s="17"/>
      <c r="G26" s="17"/>
      <c r="H26" s="17"/>
    </row>
    <row r="27" customFormat="false" ht="39.75" hidden="false" customHeight="true" outlineLevel="0" collapsed="false">
      <c r="A27" s="6" t="n">
        <v>15</v>
      </c>
      <c r="B27" s="7" t="s">
        <v>60</v>
      </c>
      <c r="C27" s="7" t="s">
        <v>61</v>
      </c>
      <c r="D27" s="8" t="n">
        <v>25</v>
      </c>
      <c r="E27" s="8" t="n">
        <v>5</v>
      </c>
      <c r="F27" s="8" t="n">
        <f aca="false">D27-E27</f>
        <v>20</v>
      </c>
      <c r="G27" s="9" t="n">
        <f aca="false">IF(D27=0,0,F27/D27)</f>
        <v>0.8</v>
      </c>
      <c r="H27" s="7" t="s">
        <v>62</v>
      </c>
    </row>
    <row r="28" customFormat="false" ht="39.75" hidden="false" customHeight="true" outlineLevel="0" collapsed="false">
      <c r="A28" s="6" t="n">
        <v>16</v>
      </c>
      <c r="B28" s="7" t="s">
        <v>63</v>
      </c>
      <c r="C28" s="7" t="s">
        <v>64</v>
      </c>
      <c r="D28" s="8" t="n">
        <v>5</v>
      </c>
      <c r="E28" s="8" t="n">
        <v>3</v>
      </c>
      <c r="F28" s="8" t="n">
        <f aca="false">D28-E28</f>
        <v>2</v>
      </c>
      <c r="G28" s="9" t="n">
        <f aca="false">IF(D28=0,0,F28/D28)</f>
        <v>0.4</v>
      </c>
      <c r="H28" s="7" t="s">
        <v>65</v>
      </c>
    </row>
    <row r="29" customFormat="false" ht="39.75" hidden="false" customHeight="true" outlineLevel="0" collapsed="false">
      <c r="A29" s="6" t="n">
        <v>17</v>
      </c>
      <c r="B29" s="7" t="s">
        <v>66</v>
      </c>
      <c r="C29" s="7" t="s">
        <v>67</v>
      </c>
      <c r="D29" s="8" t="n">
        <v>40</v>
      </c>
      <c r="E29" s="8" t="n">
        <v>0</v>
      </c>
      <c r="F29" s="8" t="n">
        <f aca="false">D29-E29</f>
        <v>40</v>
      </c>
      <c r="G29" s="9" t="n">
        <f aca="false">IF(D29=0,0,F29/D29)</f>
        <v>1</v>
      </c>
      <c r="H29" s="7" t="s">
        <v>68</v>
      </c>
    </row>
    <row r="30" customFormat="false" ht="39.75" hidden="false" customHeight="true" outlineLevel="0" collapsed="false">
      <c r="A30" s="6" t="n">
        <v>18</v>
      </c>
      <c r="B30" s="7" t="s">
        <v>69</v>
      </c>
      <c r="C30" s="7" t="s">
        <v>70</v>
      </c>
      <c r="D30" s="8" t="n">
        <v>60</v>
      </c>
      <c r="E30" s="8" t="n">
        <v>0</v>
      </c>
      <c r="F30" s="8" t="n">
        <f aca="false">D30-E30</f>
        <v>60</v>
      </c>
      <c r="G30" s="9" t="n">
        <f aca="false">IF(D30=0,0,F30/D30)</f>
        <v>1</v>
      </c>
      <c r="H30" s="7" t="s">
        <v>71</v>
      </c>
    </row>
    <row r="31" customFormat="false" ht="39.75" hidden="false" customHeight="true" outlineLevel="0" collapsed="false">
      <c r="A31" s="6" t="n">
        <v>19</v>
      </c>
      <c r="B31" s="7" t="s">
        <v>72</v>
      </c>
      <c r="C31" s="7" t="s">
        <v>73</v>
      </c>
      <c r="D31" s="8" t="n">
        <v>20</v>
      </c>
      <c r="E31" s="8" t="n">
        <v>0</v>
      </c>
      <c r="F31" s="8" t="n">
        <f aca="false">D31-E31</f>
        <v>20</v>
      </c>
      <c r="G31" s="9" t="n">
        <f aca="false">IF(D31=0,0,F31/D31)</f>
        <v>1</v>
      </c>
      <c r="H31" s="7" t="s">
        <v>74</v>
      </c>
    </row>
    <row r="32" customFormat="false" ht="39.75" hidden="false" customHeight="true" outlineLevel="0" collapsed="false">
      <c r="A32" s="6" t="n">
        <v>20</v>
      </c>
      <c r="B32" s="7" t="s">
        <v>75</v>
      </c>
      <c r="C32" s="7" t="s">
        <v>76</v>
      </c>
      <c r="D32" s="8" t="n">
        <v>20</v>
      </c>
      <c r="E32" s="8" t="n">
        <v>0</v>
      </c>
      <c r="F32" s="8" t="n">
        <f aca="false">D32-E32</f>
        <v>20</v>
      </c>
      <c r="G32" s="9" t="n">
        <f aca="false">IF(D32=0,0,F32/D32)</f>
        <v>1</v>
      </c>
      <c r="H32" s="7" t="s">
        <v>77</v>
      </c>
    </row>
    <row r="33" customFormat="false" ht="39.75" hidden="false" customHeight="true" outlineLevel="0" collapsed="false">
      <c r="A33" s="6" t="n">
        <v>21</v>
      </c>
      <c r="B33" s="7" t="s">
        <v>78</v>
      </c>
      <c r="C33" s="7" t="s">
        <v>79</v>
      </c>
      <c r="D33" s="8" t="n">
        <v>0</v>
      </c>
      <c r="E33" s="8" t="n">
        <v>15</v>
      </c>
      <c r="F33" s="8" t="n">
        <f aca="false">D33-E33</f>
        <v>-15</v>
      </c>
      <c r="G33" s="9" t="n">
        <f aca="false">IF(D33=0,0,F33/D33)</f>
        <v>0</v>
      </c>
      <c r="H33" s="7" t="s">
        <v>80</v>
      </c>
    </row>
    <row r="34" customFormat="false" ht="39.75" hidden="false" customHeight="true" outlineLevel="0" collapsed="false">
      <c r="A34" s="10"/>
      <c r="B34" s="10" t="s">
        <v>81</v>
      </c>
      <c r="C34" s="11"/>
      <c r="D34" s="12" t="n">
        <f aca="false">SUM(D27:D33)</f>
        <v>170</v>
      </c>
      <c r="E34" s="12" t="n">
        <f aca="false">SUM(E27:E33)</f>
        <v>23</v>
      </c>
      <c r="F34" s="12" t="n">
        <f aca="false">D34-E34</f>
        <v>147</v>
      </c>
      <c r="G34" s="13" t="n">
        <f aca="false">IF(D34=0,0,F34/D34)</f>
        <v>0.864705882352941</v>
      </c>
      <c r="H34" s="14"/>
    </row>
    <row r="35" customFormat="false" ht="39.75" hidden="false" customHeight="true" outlineLevel="0" collapsed="false">
      <c r="A35" s="18" t="s">
        <v>82</v>
      </c>
      <c r="B35" s="18"/>
      <c r="C35" s="18"/>
      <c r="D35" s="18"/>
      <c r="E35" s="18"/>
      <c r="F35" s="18"/>
      <c r="G35" s="18"/>
      <c r="H35" s="18"/>
    </row>
    <row r="36" customFormat="false" ht="39.75" hidden="false" customHeight="true" outlineLevel="0" collapsed="false">
      <c r="A36" s="6" t="n">
        <v>22</v>
      </c>
      <c r="B36" s="7" t="s">
        <v>83</v>
      </c>
      <c r="C36" s="7" t="s">
        <v>84</v>
      </c>
      <c r="D36" s="8" t="n">
        <v>400</v>
      </c>
      <c r="E36" s="8" t="n">
        <v>400</v>
      </c>
      <c r="F36" s="8" t="n">
        <f aca="false">D36-E36</f>
        <v>0</v>
      </c>
      <c r="G36" s="9" t="n">
        <f aca="false">IF(D36=0,0,F36/D36)</f>
        <v>0</v>
      </c>
      <c r="H36" s="7" t="s">
        <v>85</v>
      </c>
    </row>
    <row r="37" customFormat="false" ht="39.75" hidden="false" customHeight="true" outlineLevel="0" collapsed="false">
      <c r="A37" s="6" t="n">
        <v>23</v>
      </c>
      <c r="B37" s="7" t="s">
        <v>86</v>
      </c>
      <c r="C37" s="7" t="s">
        <v>87</v>
      </c>
      <c r="D37" s="8" t="n">
        <v>300</v>
      </c>
      <c r="E37" s="8" t="n">
        <v>300</v>
      </c>
      <c r="F37" s="8" t="n">
        <f aca="false">D37-E37</f>
        <v>0</v>
      </c>
      <c r="G37" s="9" t="n">
        <f aca="false">IF(D37=0,0,F37/D37)</f>
        <v>0</v>
      </c>
      <c r="H37" s="7" t="s">
        <v>88</v>
      </c>
    </row>
    <row r="38" customFormat="false" ht="39.75" hidden="false" customHeight="true" outlineLevel="0" collapsed="false">
      <c r="A38" s="6" t="n">
        <v>24</v>
      </c>
      <c r="B38" s="7" t="s">
        <v>89</v>
      </c>
      <c r="C38" s="7" t="s">
        <v>90</v>
      </c>
      <c r="D38" s="8" t="n">
        <v>50</v>
      </c>
      <c r="E38" s="8" t="n">
        <v>50</v>
      </c>
      <c r="F38" s="8" t="n">
        <f aca="false">D38-E38</f>
        <v>0</v>
      </c>
      <c r="G38" s="9" t="n">
        <f aca="false">IF(D38=0,0,F38/D38)</f>
        <v>0</v>
      </c>
      <c r="H38" s="7" t="s">
        <v>91</v>
      </c>
    </row>
    <row r="39" customFormat="false" ht="39.75" hidden="false" customHeight="true" outlineLevel="0" collapsed="false">
      <c r="A39" s="6" t="n">
        <v>25</v>
      </c>
      <c r="B39" s="7" t="s">
        <v>92</v>
      </c>
      <c r="C39" s="7" t="s">
        <v>93</v>
      </c>
      <c r="D39" s="8" t="n">
        <v>0</v>
      </c>
      <c r="E39" s="8" t="n">
        <v>0</v>
      </c>
      <c r="F39" s="8" t="n">
        <f aca="false">D39-E39</f>
        <v>0</v>
      </c>
      <c r="G39" s="9" t="n">
        <f aca="false">IF(D39=0,0,F39/D39)</f>
        <v>0</v>
      </c>
      <c r="H39" s="7" t="s">
        <v>94</v>
      </c>
    </row>
    <row r="40" customFormat="false" ht="39.75" hidden="false" customHeight="true" outlineLevel="0" collapsed="false">
      <c r="A40" s="10"/>
      <c r="B40" s="10" t="s">
        <v>95</v>
      </c>
      <c r="C40" s="11"/>
      <c r="D40" s="12" t="n">
        <f aca="false">SUM(D36:D39)</f>
        <v>750</v>
      </c>
      <c r="E40" s="12" t="n">
        <f aca="false">SUM(E36:E39)</f>
        <v>750</v>
      </c>
      <c r="F40" s="12" t="n">
        <f aca="false">D40-E40</f>
        <v>0</v>
      </c>
      <c r="G40" s="13" t="n">
        <f aca="false">IF(D40=0,0,F40/D40)</f>
        <v>0</v>
      </c>
      <c r="H40" s="14"/>
    </row>
    <row r="41" customFormat="false" ht="39.75" hidden="false" customHeight="true" outlineLevel="0" collapsed="false"/>
    <row r="42" customFormat="false" ht="39.75" hidden="false" customHeight="true" outlineLevel="0" collapsed="false">
      <c r="A42" s="19"/>
      <c r="B42" s="19" t="s">
        <v>96</v>
      </c>
      <c r="C42" s="20"/>
      <c r="D42" s="21" t="n">
        <f aca="false">D13+D21+D25+D34+D40</f>
        <v>2395</v>
      </c>
      <c r="E42" s="21" t="n">
        <f aca="false">E13+E21+E25+E34+E40</f>
        <v>911</v>
      </c>
      <c r="F42" s="22" t="n">
        <f aca="false">D42-E42</f>
        <v>1484</v>
      </c>
      <c r="G42" s="23" t="n">
        <f aca="false">IF(D42=0,0,F42/D42)</f>
        <v>0.619624217118998</v>
      </c>
      <c r="H42" s="24" t="s">
        <v>97</v>
      </c>
    </row>
    <row r="43" customFormat="false" ht="39.75" hidden="false" customHeight="true" outlineLevel="0" collapsed="false">
      <c r="A43" s="25"/>
      <c r="B43" s="26" t="s">
        <v>98</v>
      </c>
      <c r="C43" s="25"/>
      <c r="D43" s="27" t="n">
        <f aca="false">D42*12</f>
        <v>28740</v>
      </c>
      <c r="E43" s="27" t="n">
        <f aca="false">E42*12</f>
        <v>10932</v>
      </c>
      <c r="F43" s="28" t="n">
        <f aca="false">D43-E43</f>
        <v>17808</v>
      </c>
      <c r="G43" s="29" t="n">
        <f aca="false">IF(D43=0,0,F43/D43)</f>
        <v>0.619624217118998</v>
      </c>
      <c r="H43" s="25"/>
    </row>
    <row r="44" customFormat="false" ht="39.75" hidden="false" customHeight="true" outlineLevel="0" collapsed="false"/>
    <row r="45" customFormat="false" ht="39.75" hidden="false" customHeight="true" outlineLevel="0" collapsed="false">
      <c r="A45" s="19" t="s">
        <v>99</v>
      </c>
      <c r="B45" s="19"/>
      <c r="C45" s="19"/>
      <c r="D45" s="19"/>
      <c r="E45" s="19"/>
      <c r="F45" s="19"/>
      <c r="G45" s="19"/>
      <c r="H45" s="19"/>
    </row>
    <row r="46" customFormat="false" ht="39.75" hidden="false" customHeight="true" outlineLevel="0" collapsed="false">
      <c r="A46" s="30"/>
      <c r="B46" s="30" t="s">
        <v>100</v>
      </c>
      <c r="C46" s="7" t="s">
        <v>101</v>
      </c>
      <c r="D46" s="31" t="n">
        <f aca="false">0</f>
        <v>0</v>
      </c>
      <c r="E46" s="31" t="n">
        <f aca="false">146</f>
        <v>146</v>
      </c>
      <c r="F46" s="32"/>
      <c r="G46" s="32"/>
      <c r="H46" s="32" t="s">
        <v>102</v>
      </c>
    </row>
    <row r="47" customFormat="false" ht="39.75" hidden="false" customHeight="true" outlineLevel="0" collapsed="false">
      <c r="A47" s="30"/>
      <c r="B47" s="33" t="s">
        <v>103</v>
      </c>
      <c r="C47" s="34" t="s">
        <v>104</v>
      </c>
      <c r="D47" s="35" t="n">
        <v>0</v>
      </c>
      <c r="E47" s="35" t="n">
        <v>86</v>
      </c>
      <c r="F47" s="36"/>
      <c r="G47" s="36"/>
      <c r="H47" s="36" t="s">
        <v>105</v>
      </c>
    </row>
    <row r="48" customFormat="false" ht="39.75" hidden="false" customHeight="true" outlineLevel="0" collapsed="false">
      <c r="A48" s="30"/>
      <c r="B48" s="37" t="s">
        <v>106</v>
      </c>
      <c r="C48" s="7" t="s">
        <v>107</v>
      </c>
      <c r="D48" s="38"/>
      <c r="E48" s="39" t="n">
        <v>146</v>
      </c>
      <c r="F48" s="38"/>
      <c r="G48" s="38"/>
      <c r="H48" s="38" t="s">
        <v>108</v>
      </c>
    </row>
    <row r="49" customFormat="false" ht="39.75" hidden="false" customHeight="true" outlineLevel="0" collapsed="false">
      <c r="A49" s="30"/>
      <c r="B49" s="33" t="s">
        <v>109</v>
      </c>
      <c r="C49" s="7" t="s">
        <v>110</v>
      </c>
      <c r="D49" s="36"/>
      <c r="E49" s="40" t="n">
        <v>750</v>
      </c>
      <c r="F49" s="36"/>
      <c r="G49" s="36"/>
      <c r="H49" s="24" t="s">
        <v>111</v>
      </c>
    </row>
    <row r="50" customFormat="false" ht="39.75" hidden="false" customHeight="true" outlineLevel="0" collapsed="false">
      <c r="A50" s="30"/>
      <c r="B50" s="41" t="s">
        <v>112</v>
      </c>
      <c r="C50" s="7" t="s">
        <v>113</v>
      </c>
      <c r="D50" s="42"/>
      <c r="E50" s="43" t="n">
        <v>896</v>
      </c>
      <c r="F50" s="42"/>
      <c r="G50" s="42"/>
      <c r="H50" s="42" t="s">
        <v>114</v>
      </c>
    </row>
    <row r="51" customFormat="false" ht="39.75" hidden="false" customHeight="true" outlineLevel="0" collapsed="false">
      <c r="A51" s="30"/>
      <c r="B51" s="37" t="s">
        <v>115</v>
      </c>
      <c r="C51" s="7" t="s">
        <v>116</v>
      </c>
      <c r="D51" s="38"/>
      <c r="E51" s="44" t="n">
        <f aca="false">ROUND(14000/896,1)</f>
        <v>15.6</v>
      </c>
      <c r="F51" s="38"/>
      <c r="G51" s="38"/>
      <c r="H51" s="45" t="s">
        <v>117</v>
      </c>
    </row>
    <row r="52" customFormat="false" ht="39.75" hidden="false" customHeight="true" outlineLevel="0" collapsed="false">
      <c r="A52" s="30"/>
      <c r="B52" s="33" t="s">
        <v>118</v>
      </c>
      <c r="C52" s="7" t="s">
        <v>119</v>
      </c>
      <c r="D52" s="36"/>
      <c r="E52" s="46" t="n">
        <f aca="false">ROUND(14000/836,1)</f>
        <v>16.7</v>
      </c>
      <c r="F52" s="36"/>
      <c r="G52" s="36"/>
      <c r="H52" s="47" t="s">
        <v>120</v>
      </c>
    </row>
    <row r="53" customFormat="false" ht="39.75" hidden="false" customHeight="true" outlineLevel="0" collapsed="false">
      <c r="A53" s="30"/>
      <c r="B53" s="48" t="s">
        <v>121</v>
      </c>
      <c r="C53" s="7" t="s">
        <v>122</v>
      </c>
      <c r="D53" s="49"/>
      <c r="E53" s="50" t="n">
        <f aca="false">ROUND(14000/346,0)</f>
        <v>40</v>
      </c>
      <c r="F53" s="49"/>
      <c r="G53" s="49"/>
      <c r="H53" s="3" t="s">
        <v>123</v>
      </c>
    </row>
    <row r="54" customFormat="false" ht="39.75" hidden="false" customHeight="true" outlineLevel="0" collapsed="false">
      <c r="A54" s="30"/>
      <c r="B54" s="33" t="s">
        <v>124</v>
      </c>
      <c r="C54" s="7" t="s">
        <v>125</v>
      </c>
      <c r="D54" s="36"/>
      <c r="E54" s="51" t="n">
        <v>0</v>
      </c>
      <c r="F54" s="36"/>
      <c r="G54" s="36"/>
      <c r="H54" s="47" t="s">
        <v>126</v>
      </c>
    </row>
    <row r="55" customFormat="false" ht="39.75" hidden="false" customHeight="true" outlineLevel="0" collapsed="false">
      <c r="A55" s="30"/>
      <c r="B55" s="52" t="s">
        <v>127</v>
      </c>
      <c r="C55" s="7" t="s">
        <v>128</v>
      </c>
      <c r="D55" s="53"/>
      <c r="E55" s="54" t="n">
        <v>836</v>
      </c>
      <c r="F55" s="53"/>
      <c r="G55" s="53"/>
      <c r="H55" s="55" t="s">
        <v>129</v>
      </c>
    </row>
    <row r="56" customFormat="false" ht="39.75" hidden="false" customHeight="true" outlineLevel="0" collapsed="false"/>
    <row r="57" customFormat="false" ht="45" hidden="false" customHeight="true" outlineLevel="0" collapsed="false">
      <c r="A57" s="56" t="s">
        <v>130</v>
      </c>
      <c r="B57" s="56"/>
      <c r="C57" s="56"/>
      <c r="D57" s="56"/>
      <c r="E57" s="56"/>
      <c r="F57" s="56"/>
      <c r="G57" s="56"/>
      <c r="H57" s="56"/>
    </row>
  </sheetData>
  <mergeCells count="10">
    <mergeCell ref="A1:H1"/>
    <mergeCell ref="A2:H2"/>
    <mergeCell ref="A3:H3"/>
    <mergeCell ref="A6:H6"/>
    <mergeCell ref="A14:H14"/>
    <mergeCell ref="A22:H22"/>
    <mergeCell ref="A26:H26"/>
    <mergeCell ref="A35:H35"/>
    <mergeCell ref="A45:H45"/>
    <mergeCell ref="A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40"/>
  </cols>
  <sheetData>
    <row r="1" customFormat="false" ht="34.5" hidden="false" customHeight="true" outlineLevel="0" collapsed="false">
      <c r="A1" s="1" t="s">
        <v>131</v>
      </c>
      <c r="B1" s="1"/>
      <c r="C1" s="1"/>
      <c r="D1" s="1"/>
      <c r="E1" s="1"/>
    </row>
    <row r="2" customFormat="false" ht="34.5" hidden="false" customHeight="true" outlineLevel="0" collapsed="false"/>
    <row r="3" customFormat="false" ht="34.5" hidden="false" customHeight="true" outlineLevel="0" collapsed="false">
      <c r="A3" s="4" t="s">
        <v>3</v>
      </c>
      <c r="B3" s="4" t="s">
        <v>132</v>
      </c>
      <c r="C3" s="4" t="s">
        <v>133</v>
      </c>
      <c r="D3" s="4" t="s">
        <v>134</v>
      </c>
      <c r="E3" s="4" t="s">
        <v>135</v>
      </c>
    </row>
    <row r="4" customFormat="false" ht="34.5" hidden="false" customHeight="true" outlineLevel="0" collapsed="false">
      <c r="A4" s="57" t="s">
        <v>136</v>
      </c>
      <c r="B4" s="57"/>
      <c r="C4" s="57"/>
      <c r="D4" s="57"/>
      <c r="E4" s="57"/>
    </row>
    <row r="5" customFormat="false" ht="34.5" hidden="false" customHeight="true" outlineLevel="0" collapsed="false">
      <c r="A5" s="6" t="n">
        <v>1</v>
      </c>
      <c r="B5" s="7" t="s">
        <v>137</v>
      </c>
      <c r="C5" s="33" t="s">
        <v>138</v>
      </c>
      <c r="D5" s="58" t="s">
        <v>139</v>
      </c>
      <c r="E5" s="7" t="s">
        <v>140</v>
      </c>
    </row>
    <row r="6" customFormat="false" ht="34.5" hidden="false" customHeight="true" outlineLevel="0" collapsed="false">
      <c r="A6" s="6" t="n">
        <v>2</v>
      </c>
      <c r="B6" s="7" t="s">
        <v>141</v>
      </c>
      <c r="C6" s="33" t="s">
        <v>138</v>
      </c>
      <c r="D6" s="58" t="s">
        <v>139</v>
      </c>
      <c r="E6" s="7" t="s">
        <v>142</v>
      </c>
    </row>
    <row r="7" customFormat="false" ht="34.5" hidden="false" customHeight="true" outlineLevel="0" collapsed="false">
      <c r="A7" s="6" t="n">
        <v>3</v>
      </c>
      <c r="B7" s="7" t="s">
        <v>143</v>
      </c>
      <c r="C7" s="33" t="s">
        <v>144</v>
      </c>
      <c r="D7" s="58" t="s">
        <v>139</v>
      </c>
      <c r="E7" s="7" t="s">
        <v>145</v>
      </c>
    </row>
    <row r="8" customFormat="false" ht="34.5" hidden="false" customHeight="true" outlineLevel="0" collapsed="false">
      <c r="A8" s="6" t="n">
        <v>4</v>
      </c>
      <c r="B8" s="7" t="s">
        <v>146</v>
      </c>
      <c r="C8" s="33" t="s">
        <v>144</v>
      </c>
      <c r="D8" s="58" t="s">
        <v>139</v>
      </c>
      <c r="E8" s="7" t="s">
        <v>147</v>
      </c>
    </row>
    <row r="9" customFormat="false" ht="34.5" hidden="false" customHeight="true" outlineLevel="0" collapsed="false">
      <c r="A9" s="6" t="n">
        <v>5</v>
      </c>
      <c r="B9" s="7" t="s">
        <v>148</v>
      </c>
      <c r="C9" s="33" t="s">
        <v>149</v>
      </c>
      <c r="D9" s="58" t="s">
        <v>139</v>
      </c>
      <c r="E9" s="7" t="s">
        <v>150</v>
      </c>
    </row>
    <row r="10" customFormat="false" ht="34.5" hidden="false" customHeight="true" outlineLevel="0" collapsed="false">
      <c r="A10" s="6" t="n">
        <v>6</v>
      </c>
      <c r="B10" s="7" t="s">
        <v>151</v>
      </c>
      <c r="C10" s="33" t="s">
        <v>152</v>
      </c>
      <c r="D10" s="58" t="s">
        <v>139</v>
      </c>
      <c r="E10" s="7" t="s">
        <v>153</v>
      </c>
    </row>
    <row r="11" customFormat="false" ht="34.5" hidden="false" customHeight="true" outlineLevel="0" collapsed="false">
      <c r="A11" s="6" t="n">
        <v>7</v>
      </c>
      <c r="B11" s="7" t="s">
        <v>154</v>
      </c>
      <c r="C11" s="33" t="s">
        <v>152</v>
      </c>
      <c r="D11" s="58" t="s">
        <v>139</v>
      </c>
      <c r="E11" s="7" t="s">
        <v>155</v>
      </c>
    </row>
    <row r="12" customFormat="false" ht="34.5" hidden="false" customHeight="true" outlineLevel="0" collapsed="false">
      <c r="A12" s="6" t="n">
        <v>8</v>
      </c>
      <c r="B12" s="7" t="s">
        <v>156</v>
      </c>
      <c r="C12" s="33" t="s">
        <v>152</v>
      </c>
      <c r="D12" s="58" t="s">
        <v>139</v>
      </c>
      <c r="E12" s="7" t="s">
        <v>157</v>
      </c>
    </row>
    <row r="13" customFormat="false" ht="34.5" hidden="false" customHeight="true" outlineLevel="0" collapsed="false">
      <c r="A13" s="6" t="n">
        <v>9</v>
      </c>
      <c r="B13" s="7" t="s">
        <v>158</v>
      </c>
      <c r="C13" s="33" t="s">
        <v>159</v>
      </c>
      <c r="D13" s="58" t="s">
        <v>139</v>
      </c>
      <c r="E13" s="7" t="s">
        <v>160</v>
      </c>
    </row>
    <row r="14" customFormat="false" ht="34.5" hidden="false" customHeight="true" outlineLevel="0" collapsed="false">
      <c r="A14" s="6" t="n">
        <v>10</v>
      </c>
      <c r="B14" s="7" t="s">
        <v>161</v>
      </c>
      <c r="C14" s="33" t="s">
        <v>152</v>
      </c>
      <c r="D14" s="58" t="s">
        <v>139</v>
      </c>
      <c r="E14" s="7" t="s">
        <v>162</v>
      </c>
    </row>
    <row r="15" customFormat="false" ht="34.5" hidden="false" customHeight="true" outlineLevel="0" collapsed="false">
      <c r="A15" s="16" t="s">
        <v>163</v>
      </c>
      <c r="B15" s="16"/>
      <c r="C15" s="16"/>
      <c r="D15" s="16"/>
      <c r="E15" s="16"/>
    </row>
    <row r="16" customFormat="false" ht="34.5" hidden="false" customHeight="true" outlineLevel="0" collapsed="false">
      <c r="A16" s="6" t="n">
        <v>11</v>
      </c>
      <c r="B16" s="7" t="s">
        <v>164</v>
      </c>
      <c r="C16" s="41" t="s">
        <v>165</v>
      </c>
      <c r="D16" s="59" t="s">
        <v>166</v>
      </c>
      <c r="E16" s="7" t="s">
        <v>167</v>
      </c>
    </row>
    <row r="17" customFormat="false" ht="34.5" hidden="false" customHeight="true" outlineLevel="0" collapsed="false">
      <c r="A17" s="6" t="n">
        <v>12</v>
      </c>
      <c r="B17" s="7" t="s">
        <v>168</v>
      </c>
      <c r="C17" s="41" t="s">
        <v>165</v>
      </c>
      <c r="D17" s="59" t="s">
        <v>169</v>
      </c>
      <c r="E17" s="7" t="s">
        <v>170</v>
      </c>
    </row>
    <row r="18" customFormat="false" ht="34.5" hidden="false" customHeight="true" outlineLevel="0" collapsed="false">
      <c r="A18" s="6" t="n">
        <v>13</v>
      </c>
      <c r="B18" s="7" t="s">
        <v>171</v>
      </c>
      <c r="C18" s="41" t="s">
        <v>165</v>
      </c>
      <c r="D18" s="59" t="s">
        <v>172</v>
      </c>
      <c r="E18" s="7" t="s">
        <v>173</v>
      </c>
    </row>
    <row r="19" customFormat="false" ht="34.5" hidden="false" customHeight="true" outlineLevel="0" collapsed="false">
      <c r="A19" s="6" t="n">
        <v>14</v>
      </c>
      <c r="B19" s="7" t="s">
        <v>27</v>
      </c>
      <c r="C19" s="41" t="s">
        <v>165</v>
      </c>
      <c r="D19" s="59" t="s">
        <v>174</v>
      </c>
      <c r="E19" s="7" t="s">
        <v>175</v>
      </c>
    </row>
    <row r="20" customFormat="false" ht="34.5" hidden="false" customHeight="true" outlineLevel="0" collapsed="false">
      <c r="A20" s="6" t="n">
        <v>15</v>
      </c>
      <c r="B20" s="7" t="s">
        <v>60</v>
      </c>
      <c r="C20" s="41" t="s">
        <v>165</v>
      </c>
      <c r="D20" s="59" t="s">
        <v>174</v>
      </c>
      <c r="E20" s="7" t="s">
        <v>176</v>
      </c>
    </row>
    <row r="21" customFormat="false" ht="34.5" hidden="false" customHeight="true" outlineLevel="0" collapsed="false">
      <c r="A21" s="6" t="n">
        <v>16</v>
      </c>
      <c r="B21" s="7" t="s">
        <v>63</v>
      </c>
      <c r="C21" s="41" t="s">
        <v>165</v>
      </c>
      <c r="D21" s="59" t="s">
        <v>177</v>
      </c>
      <c r="E21" s="7" t="s">
        <v>178</v>
      </c>
    </row>
    <row r="22" customFormat="false" ht="34.5" hidden="false" customHeight="true" outlineLevel="0" collapsed="false">
      <c r="A22" s="6" t="n">
        <v>17</v>
      </c>
      <c r="B22" s="7" t="s">
        <v>179</v>
      </c>
      <c r="C22" s="41" t="s">
        <v>165</v>
      </c>
      <c r="D22" s="59" t="s">
        <v>180</v>
      </c>
      <c r="E22" s="7" t="s">
        <v>181</v>
      </c>
    </row>
    <row r="23" customFormat="false" ht="34.5" hidden="false" customHeight="true" outlineLevel="0" collapsed="false">
      <c r="A23" s="6" t="n">
        <v>18</v>
      </c>
      <c r="B23" s="7" t="s">
        <v>182</v>
      </c>
      <c r="C23" s="41" t="s">
        <v>165</v>
      </c>
      <c r="D23" s="59" t="s">
        <v>183</v>
      </c>
      <c r="E23" s="7" t="s">
        <v>184</v>
      </c>
    </row>
    <row r="24" customFormat="false" ht="34.5" hidden="false" customHeight="true" outlineLevel="0" collapsed="false">
      <c r="A24" s="6" t="n">
        <v>19</v>
      </c>
      <c r="B24" s="7" t="s">
        <v>185</v>
      </c>
      <c r="C24" s="41" t="s">
        <v>165</v>
      </c>
      <c r="D24" s="59" t="s">
        <v>186</v>
      </c>
      <c r="E24" s="7" t="s">
        <v>187</v>
      </c>
    </row>
    <row r="25" customFormat="false" ht="34.5" hidden="false" customHeight="true" outlineLevel="0" collapsed="false">
      <c r="A25" s="6" t="n">
        <v>20</v>
      </c>
      <c r="B25" s="7" t="s">
        <v>188</v>
      </c>
      <c r="C25" s="41" t="s">
        <v>165</v>
      </c>
      <c r="D25" s="59" t="s">
        <v>166</v>
      </c>
      <c r="E25" s="7" t="s">
        <v>189</v>
      </c>
    </row>
    <row r="26" customFormat="false" ht="34.5" hidden="false" customHeight="true" outlineLevel="0" collapsed="false">
      <c r="A26" s="5" t="s">
        <v>190</v>
      </c>
      <c r="B26" s="5"/>
      <c r="C26" s="5"/>
      <c r="D26" s="5"/>
      <c r="E26" s="5"/>
    </row>
    <row r="27" customFormat="false" ht="34.5" hidden="false" customHeight="true" outlineLevel="0" collapsed="false">
      <c r="A27" s="6" t="n">
        <v>21</v>
      </c>
      <c r="B27" s="7" t="s">
        <v>191</v>
      </c>
      <c r="C27" s="60" t="s">
        <v>192</v>
      </c>
      <c r="D27" s="61" t="s">
        <v>193</v>
      </c>
      <c r="E27" s="7" t="s">
        <v>194</v>
      </c>
    </row>
    <row r="28" customFormat="false" ht="34.5" hidden="false" customHeight="true" outlineLevel="0" collapsed="false">
      <c r="A28" s="6" t="n">
        <v>22</v>
      </c>
      <c r="B28" s="7" t="s">
        <v>195</v>
      </c>
      <c r="C28" s="60" t="s">
        <v>196</v>
      </c>
      <c r="D28" s="61" t="s">
        <v>193</v>
      </c>
      <c r="E28" s="7" t="s">
        <v>197</v>
      </c>
    </row>
    <row r="29" customFormat="false" ht="34.5" hidden="false" customHeight="true" outlineLevel="0" collapsed="false"/>
    <row r="30" customFormat="false" ht="39.75" hidden="false" customHeight="true" outlineLevel="0" collapsed="false">
      <c r="A30" s="62" t="s">
        <v>198</v>
      </c>
      <c r="B30" s="62"/>
      <c r="C30" s="62"/>
      <c r="D30" s="62"/>
      <c r="E30" s="62"/>
    </row>
  </sheetData>
  <mergeCells count="5">
    <mergeCell ref="A1:E1"/>
    <mergeCell ref="A4:E4"/>
    <mergeCell ref="A15:E15"/>
    <mergeCell ref="A26:E26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34.5" hidden="false" customHeight="true" outlineLevel="0" collapsed="false">
      <c r="A1" s="1" t="s">
        <v>199</v>
      </c>
      <c r="B1" s="1"/>
      <c r="C1" s="1"/>
      <c r="D1" s="1"/>
      <c r="E1" s="1"/>
      <c r="F1" s="1"/>
    </row>
    <row r="2" customFormat="false" ht="24.75" hidden="false" customHeight="true" outlineLevel="0" collapsed="false">
      <c r="A2" s="63" t="s">
        <v>200</v>
      </c>
      <c r="B2" s="63"/>
      <c r="C2" s="63"/>
      <c r="D2" s="63"/>
      <c r="E2" s="63"/>
      <c r="F2" s="63"/>
    </row>
    <row r="3" customFormat="false" ht="24.75" hidden="false" customHeight="true" outlineLevel="0" collapsed="false"/>
    <row r="4" customFormat="false" ht="24.75" hidden="false" customHeight="true" outlineLevel="0" collapsed="false">
      <c r="A4" s="4" t="s">
        <v>201</v>
      </c>
      <c r="B4" s="4" t="s">
        <v>202</v>
      </c>
      <c r="C4" s="4" t="s">
        <v>203</v>
      </c>
      <c r="D4" s="4" t="s">
        <v>204</v>
      </c>
      <c r="E4" s="4" t="s">
        <v>205</v>
      </c>
      <c r="F4" s="4" t="s">
        <v>206</v>
      </c>
    </row>
    <row r="5" customFormat="false" ht="24.75" hidden="false" customHeight="true" outlineLevel="0" collapsed="false">
      <c r="A5" s="26" t="s">
        <v>207</v>
      </c>
      <c r="B5" s="27" t="n">
        <v>0</v>
      </c>
      <c r="C5" s="27" t="n">
        <v>14000</v>
      </c>
      <c r="D5" s="27" t="n">
        <v>0</v>
      </c>
      <c r="E5" s="27" t="n">
        <v>14000</v>
      </c>
      <c r="F5" s="27" t="n">
        <v>0</v>
      </c>
    </row>
    <row r="6" customFormat="false" ht="24.75" hidden="false" customHeight="true" outlineLevel="0" collapsed="false">
      <c r="A6" s="6" t="s">
        <v>208</v>
      </c>
      <c r="B6" s="8" t="n">
        <v>346</v>
      </c>
      <c r="C6" s="64" t="n">
        <f aca="false">MAX(C5-B6,0)</f>
        <v>13654</v>
      </c>
      <c r="D6" s="8" t="n">
        <v>286</v>
      </c>
      <c r="E6" s="64" t="n">
        <f aca="false">MAX(E5-D6,0)</f>
        <v>13714</v>
      </c>
      <c r="F6" s="64" t="n">
        <f aca="false">IF(C5&gt;B6,0,B6-C5)</f>
        <v>0</v>
      </c>
    </row>
    <row r="7" customFormat="false" ht="24.75" hidden="false" customHeight="true" outlineLevel="0" collapsed="false">
      <c r="A7" s="6" t="s">
        <v>209</v>
      </c>
      <c r="B7" s="8" t="n">
        <v>346</v>
      </c>
      <c r="C7" s="64" t="n">
        <f aca="false">MAX(C6-B7,0)</f>
        <v>13308</v>
      </c>
      <c r="D7" s="8" t="n">
        <v>286</v>
      </c>
      <c r="E7" s="64" t="n">
        <f aca="false">MAX(E6-D7,0)</f>
        <v>13428</v>
      </c>
      <c r="F7" s="64" t="n">
        <f aca="false">IF(C6&gt;B7,0,B7-C6)</f>
        <v>0</v>
      </c>
    </row>
    <row r="8" customFormat="false" ht="24.75" hidden="false" customHeight="true" outlineLevel="0" collapsed="false">
      <c r="A8" s="6" t="s">
        <v>210</v>
      </c>
      <c r="B8" s="8" t="n">
        <v>346</v>
      </c>
      <c r="C8" s="64" t="n">
        <f aca="false">MAX(C7-B8,0)</f>
        <v>12962</v>
      </c>
      <c r="D8" s="8" t="n">
        <v>286</v>
      </c>
      <c r="E8" s="64" t="n">
        <f aca="false">MAX(E7-D8,0)</f>
        <v>13142</v>
      </c>
      <c r="F8" s="64" t="n">
        <f aca="false">IF(C7&gt;B8,0,B8-C7)</f>
        <v>0</v>
      </c>
    </row>
    <row r="9" customFormat="false" ht="24.75" hidden="false" customHeight="true" outlineLevel="0" collapsed="false">
      <c r="A9" s="6" t="s">
        <v>211</v>
      </c>
      <c r="B9" s="8" t="n">
        <v>646</v>
      </c>
      <c r="C9" s="64" t="n">
        <f aca="false">MAX(C8-B9,0)</f>
        <v>12316</v>
      </c>
      <c r="D9" s="8" t="n">
        <v>586</v>
      </c>
      <c r="E9" s="64" t="n">
        <f aca="false">MAX(E8-D9,0)</f>
        <v>12556</v>
      </c>
      <c r="F9" s="64" t="n">
        <f aca="false">IF(C8&gt;B9,0,B9-C8)</f>
        <v>0</v>
      </c>
    </row>
    <row r="10" customFormat="false" ht="24.75" hidden="false" customHeight="true" outlineLevel="0" collapsed="false">
      <c r="A10" s="6" t="s">
        <v>212</v>
      </c>
      <c r="B10" s="8" t="n">
        <v>646</v>
      </c>
      <c r="C10" s="64" t="n">
        <f aca="false">MAX(C9-B10,0)</f>
        <v>11670</v>
      </c>
      <c r="D10" s="8" t="n">
        <v>586</v>
      </c>
      <c r="E10" s="64" t="n">
        <f aca="false">MAX(E9-D10,0)</f>
        <v>11970</v>
      </c>
      <c r="F10" s="64" t="n">
        <f aca="false">IF(C9&gt;B10,0,B10-C9)</f>
        <v>0</v>
      </c>
    </row>
    <row r="11" customFormat="false" ht="24.75" hidden="false" customHeight="true" outlineLevel="0" collapsed="false">
      <c r="A11" s="6" t="s">
        <v>213</v>
      </c>
      <c r="B11" s="8" t="n">
        <v>646</v>
      </c>
      <c r="C11" s="64" t="n">
        <f aca="false">MAX(C10-B11,0)</f>
        <v>11024</v>
      </c>
      <c r="D11" s="8" t="n">
        <v>586</v>
      </c>
      <c r="E11" s="64" t="n">
        <f aca="false">MAX(E10-D11,0)</f>
        <v>11384</v>
      </c>
      <c r="F11" s="64" t="n">
        <f aca="false">IF(C10&gt;B11,0,B11-C10)</f>
        <v>0</v>
      </c>
    </row>
    <row r="12" customFormat="false" ht="24.75" hidden="false" customHeight="true" outlineLevel="0" collapsed="false">
      <c r="A12" s="6" t="s">
        <v>214</v>
      </c>
      <c r="B12" s="8" t="n">
        <v>896</v>
      </c>
      <c r="C12" s="64" t="n">
        <f aca="false">MAX(C11-B12,0)</f>
        <v>10128</v>
      </c>
      <c r="D12" s="8" t="n">
        <v>836</v>
      </c>
      <c r="E12" s="64" t="n">
        <f aca="false">MAX(E11-D12,0)</f>
        <v>10548</v>
      </c>
      <c r="F12" s="64" t="n">
        <f aca="false">IF(C11&gt;B12,0,B12-C11)</f>
        <v>0</v>
      </c>
    </row>
    <row r="13" customFormat="false" ht="24.75" hidden="false" customHeight="true" outlineLevel="0" collapsed="false">
      <c r="A13" s="6" t="s">
        <v>215</v>
      </c>
      <c r="B13" s="8" t="n">
        <v>896</v>
      </c>
      <c r="C13" s="64" t="n">
        <f aca="false">MAX(C12-B13,0)</f>
        <v>9232</v>
      </c>
      <c r="D13" s="8" t="n">
        <v>836</v>
      </c>
      <c r="E13" s="64" t="n">
        <f aca="false">MAX(E12-D13,0)</f>
        <v>9712</v>
      </c>
      <c r="F13" s="64" t="n">
        <f aca="false">IF(C12&gt;B13,0,B13-C12)</f>
        <v>0</v>
      </c>
    </row>
    <row r="14" customFormat="false" ht="24.75" hidden="false" customHeight="true" outlineLevel="0" collapsed="false">
      <c r="A14" s="6" t="s">
        <v>216</v>
      </c>
      <c r="B14" s="8" t="n">
        <v>896</v>
      </c>
      <c r="C14" s="64" t="n">
        <f aca="false">MAX(C13-B14,0)</f>
        <v>8336</v>
      </c>
      <c r="D14" s="8" t="n">
        <v>836</v>
      </c>
      <c r="E14" s="64" t="n">
        <f aca="false">MAX(E13-D14,0)</f>
        <v>8876</v>
      </c>
      <c r="F14" s="64" t="n">
        <f aca="false">IF(C13&gt;B14,0,B14-C13)</f>
        <v>0</v>
      </c>
    </row>
    <row r="15" customFormat="false" ht="24.75" hidden="false" customHeight="true" outlineLevel="0" collapsed="false">
      <c r="A15" s="6" t="s">
        <v>217</v>
      </c>
      <c r="B15" s="8" t="n">
        <v>896</v>
      </c>
      <c r="C15" s="64" t="n">
        <f aca="false">MAX(C14-B15,0)</f>
        <v>7440</v>
      </c>
      <c r="D15" s="8" t="n">
        <v>836</v>
      </c>
      <c r="E15" s="64" t="n">
        <f aca="false">MAX(E14-D15,0)</f>
        <v>8040</v>
      </c>
      <c r="F15" s="64" t="n">
        <f aca="false">IF(C14&gt;B15,0,B15-C14)</f>
        <v>0</v>
      </c>
    </row>
    <row r="16" customFormat="false" ht="24.75" hidden="false" customHeight="true" outlineLevel="0" collapsed="false">
      <c r="A16" s="6" t="s">
        <v>218</v>
      </c>
      <c r="B16" s="8" t="n">
        <v>896</v>
      </c>
      <c r="C16" s="64" t="n">
        <f aca="false">MAX(C15-B16,0)</f>
        <v>6544</v>
      </c>
      <c r="D16" s="8" t="n">
        <v>836</v>
      </c>
      <c r="E16" s="64" t="n">
        <f aca="false">MAX(E15-D16,0)</f>
        <v>7204</v>
      </c>
      <c r="F16" s="64" t="n">
        <f aca="false">IF(C15&gt;B16,0,B16-C15)</f>
        <v>0</v>
      </c>
    </row>
    <row r="17" customFormat="false" ht="24.75" hidden="false" customHeight="true" outlineLevel="0" collapsed="false">
      <c r="A17" s="6" t="s">
        <v>219</v>
      </c>
      <c r="B17" s="8" t="n">
        <v>896</v>
      </c>
      <c r="C17" s="64" t="n">
        <f aca="false">MAX(C16-B17,0)</f>
        <v>5648</v>
      </c>
      <c r="D17" s="8" t="n">
        <v>836</v>
      </c>
      <c r="E17" s="64" t="n">
        <f aca="false">MAX(E16-D17,0)</f>
        <v>6368</v>
      </c>
      <c r="F17" s="64" t="n">
        <f aca="false">IF(C16&gt;B17,0,B17-C16)</f>
        <v>0</v>
      </c>
    </row>
    <row r="18" customFormat="false" ht="24.75" hidden="false" customHeight="true" outlineLevel="0" collapsed="false">
      <c r="A18" s="6" t="s">
        <v>220</v>
      </c>
      <c r="B18" s="8" t="n">
        <v>896</v>
      </c>
      <c r="C18" s="64" t="n">
        <f aca="false">MAX(C17-B18,0)</f>
        <v>4752</v>
      </c>
      <c r="D18" s="8" t="n">
        <v>836</v>
      </c>
      <c r="E18" s="64" t="n">
        <f aca="false">MAX(E17-D18,0)</f>
        <v>5532</v>
      </c>
      <c r="F18" s="64" t="n">
        <f aca="false">IF(C17&gt;B18,0,B18-C17)</f>
        <v>0</v>
      </c>
    </row>
    <row r="19" customFormat="false" ht="24.75" hidden="false" customHeight="true" outlineLevel="0" collapsed="false">
      <c r="A19" s="6" t="s">
        <v>221</v>
      </c>
      <c r="B19" s="8" t="n">
        <v>896</v>
      </c>
      <c r="C19" s="64" t="n">
        <f aca="false">MAX(C18-B19,0)</f>
        <v>3856</v>
      </c>
      <c r="D19" s="8" t="n">
        <v>836</v>
      </c>
      <c r="E19" s="64" t="n">
        <f aca="false">MAX(E18-D19,0)</f>
        <v>4696</v>
      </c>
      <c r="F19" s="64" t="n">
        <f aca="false">IF(C18&gt;B19,0,B19-C18)</f>
        <v>0</v>
      </c>
    </row>
    <row r="20" customFormat="false" ht="24.75" hidden="false" customHeight="true" outlineLevel="0" collapsed="false">
      <c r="A20" s="6" t="s">
        <v>222</v>
      </c>
      <c r="B20" s="8" t="n">
        <v>896</v>
      </c>
      <c r="C20" s="64" t="n">
        <f aca="false">MAX(C19-B20,0)</f>
        <v>2960</v>
      </c>
      <c r="D20" s="8" t="n">
        <v>836</v>
      </c>
      <c r="E20" s="64" t="n">
        <f aca="false">MAX(E19-D20,0)</f>
        <v>3860</v>
      </c>
      <c r="F20" s="64" t="n">
        <f aca="false">IF(C19&gt;B20,0,B20-C19)</f>
        <v>0</v>
      </c>
    </row>
    <row r="21" customFormat="false" ht="24.75" hidden="false" customHeight="true" outlineLevel="0" collapsed="false">
      <c r="A21" s="6" t="s">
        <v>223</v>
      </c>
      <c r="B21" s="8" t="n">
        <v>896</v>
      </c>
      <c r="C21" s="64" t="n">
        <f aca="false">MAX(C20-B21,0)</f>
        <v>2064</v>
      </c>
      <c r="D21" s="8" t="n">
        <v>836</v>
      </c>
      <c r="E21" s="64" t="n">
        <f aca="false">MAX(E20-D21,0)</f>
        <v>3024</v>
      </c>
      <c r="F21" s="64" t="n">
        <f aca="false">IF(C20&gt;B21,0,B21-C20)</f>
        <v>0</v>
      </c>
    </row>
    <row r="22" customFormat="false" ht="24.75" hidden="false" customHeight="true" outlineLevel="0" collapsed="false">
      <c r="A22" s="6" t="s">
        <v>224</v>
      </c>
      <c r="B22" s="8" t="n">
        <v>896</v>
      </c>
      <c r="C22" s="64" t="n">
        <f aca="false">MAX(C21-B22,0)</f>
        <v>1168</v>
      </c>
      <c r="D22" s="8" t="n">
        <v>836</v>
      </c>
      <c r="E22" s="64" t="n">
        <f aca="false">MAX(E21-D22,0)</f>
        <v>2188</v>
      </c>
      <c r="F22" s="64" t="n">
        <f aca="false">IF(C21&gt;B22,0,B22-C21)</f>
        <v>0</v>
      </c>
    </row>
    <row r="23" customFormat="false" ht="24.75" hidden="false" customHeight="true" outlineLevel="0" collapsed="false">
      <c r="A23" s="6" t="s">
        <v>225</v>
      </c>
      <c r="B23" s="8" t="n">
        <v>896</v>
      </c>
      <c r="C23" s="64" t="n">
        <f aca="false">MAX(C22-B23,0)</f>
        <v>272</v>
      </c>
      <c r="D23" s="8" t="n">
        <v>836</v>
      </c>
      <c r="E23" s="64" t="n">
        <f aca="false">MAX(E22-D23,0)</f>
        <v>1352</v>
      </c>
      <c r="F23" s="64" t="n">
        <f aca="false">IF(C22&gt;B23,0,B23-C22)</f>
        <v>0</v>
      </c>
    </row>
    <row r="24" customFormat="false" ht="24.75" hidden="false" customHeight="true" outlineLevel="0" collapsed="false">
      <c r="A24" s="6" t="s">
        <v>226</v>
      </c>
      <c r="B24" s="8" t="n">
        <v>896</v>
      </c>
      <c r="C24" s="64" t="n">
        <f aca="false">MAX(C23-B24,0)</f>
        <v>0</v>
      </c>
      <c r="D24" s="8" t="n">
        <v>836</v>
      </c>
      <c r="E24" s="64" t="n">
        <f aca="false">MAX(E23-D24,0)</f>
        <v>516</v>
      </c>
      <c r="F24" s="64" t="n">
        <f aca="false">IF(C23&gt;B24,0,B24-C23)</f>
        <v>624</v>
      </c>
    </row>
    <row r="25" customFormat="false" ht="24.75" hidden="false" customHeight="true" outlineLevel="0" collapsed="false">
      <c r="A25" s="6" t="s">
        <v>227</v>
      </c>
      <c r="B25" s="8" t="n">
        <v>896</v>
      </c>
      <c r="C25" s="64" t="n">
        <f aca="false">MAX(C24-B25,0)</f>
        <v>0</v>
      </c>
      <c r="D25" s="8" t="n">
        <v>836</v>
      </c>
      <c r="E25" s="64" t="n">
        <f aca="false">MAX(E24-D25,0)</f>
        <v>0</v>
      </c>
      <c r="F25" s="64" t="n">
        <f aca="false">IF(C24&gt;B25,0,B25-C24)</f>
        <v>896</v>
      </c>
    </row>
    <row r="26" customFormat="false" ht="24.75" hidden="false" customHeight="true" outlineLevel="0" collapsed="false">
      <c r="A26" s="6" t="s">
        <v>228</v>
      </c>
      <c r="B26" s="8" t="n">
        <v>896</v>
      </c>
      <c r="C26" s="64" t="n">
        <f aca="false">MAX(C25-B26,0)</f>
        <v>0</v>
      </c>
      <c r="D26" s="8" t="n">
        <v>836</v>
      </c>
      <c r="E26" s="64" t="n">
        <f aca="false">MAX(E25-D26,0)</f>
        <v>0</v>
      </c>
      <c r="F26" s="64" t="n">
        <f aca="false">IF(C25&gt;B26,0,B26-C25)</f>
        <v>896</v>
      </c>
    </row>
    <row r="27" customFormat="false" ht="24.75" hidden="false" customHeight="true" outlineLevel="0" collapsed="false">
      <c r="A27" s="6" t="s">
        <v>229</v>
      </c>
      <c r="B27" s="8" t="n">
        <v>896</v>
      </c>
      <c r="C27" s="64" t="n">
        <f aca="false">MAX(C26-B27,0)</f>
        <v>0</v>
      </c>
      <c r="D27" s="8" t="n">
        <v>836</v>
      </c>
      <c r="E27" s="64" t="n">
        <f aca="false">MAX(E26-D27,0)</f>
        <v>0</v>
      </c>
      <c r="F27" s="64" t="n">
        <f aca="false">IF(C26&gt;B27,0,B27-C26)</f>
        <v>896</v>
      </c>
    </row>
    <row r="28" customFormat="false" ht="24.75" hidden="false" customHeight="true" outlineLevel="0" collapsed="false">
      <c r="A28" s="6" t="s">
        <v>230</v>
      </c>
      <c r="B28" s="8" t="n">
        <v>896</v>
      </c>
      <c r="C28" s="64" t="n">
        <f aca="false">MAX(C27-B28,0)</f>
        <v>0</v>
      </c>
      <c r="D28" s="8" t="n">
        <v>836</v>
      </c>
      <c r="E28" s="64" t="n">
        <f aca="false">MAX(E27-D28,0)</f>
        <v>0</v>
      </c>
      <c r="F28" s="64" t="n">
        <f aca="false">IF(C27&gt;B28,0,B28-C27)</f>
        <v>896</v>
      </c>
    </row>
    <row r="29" customFormat="false" ht="24.75" hidden="false" customHeight="true" outlineLevel="0" collapsed="false">
      <c r="A29" s="6" t="s">
        <v>231</v>
      </c>
      <c r="B29" s="8" t="n">
        <v>896</v>
      </c>
      <c r="C29" s="64" t="n">
        <f aca="false">MAX(C28-B29,0)</f>
        <v>0</v>
      </c>
      <c r="D29" s="8" t="n">
        <v>836</v>
      </c>
      <c r="E29" s="64" t="n">
        <f aca="false">MAX(E28-D29,0)</f>
        <v>0</v>
      </c>
      <c r="F29" s="64" t="n">
        <f aca="false">IF(C28&gt;B29,0,B29-C28)</f>
        <v>896</v>
      </c>
    </row>
    <row r="30" customFormat="false" ht="24.75" hidden="false" customHeight="true" outlineLevel="0" collapsed="false">
      <c r="A30" s="65" t="s">
        <v>232</v>
      </c>
      <c r="B30" s="66" t="n">
        <f aca="false">SUM(B6:B29)</f>
        <v>19104</v>
      </c>
      <c r="C30" s="67" t="n">
        <f aca="false">C29</f>
        <v>0</v>
      </c>
      <c r="D30" s="66" t="n">
        <f aca="false">SUM(D6:D29)</f>
        <v>17664</v>
      </c>
      <c r="E30" s="67" t="n">
        <f aca="false">E29</f>
        <v>0</v>
      </c>
      <c r="F30" s="66" t="n">
        <f aca="false">SUM(F6:F29)</f>
        <v>5104</v>
      </c>
    </row>
    <row r="31" customFormat="false" ht="24.75" hidden="false" customHeight="true" outlineLevel="0" collapsed="false"/>
    <row r="32" customFormat="false" ht="45" hidden="false" customHeight="true" outlineLevel="0" collapsed="false">
      <c r="A32" s="56" t="s">
        <v>233</v>
      </c>
      <c r="B32" s="56"/>
      <c r="C32" s="56"/>
      <c r="D32" s="56"/>
      <c r="E32" s="56"/>
      <c r="F32" s="56"/>
    </row>
  </sheetData>
  <mergeCells count="3">
    <mergeCell ref="A1:F1"/>
    <mergeCell ref="A2:F2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2026-04-17T14:11:42Z</dcterms:created>
  <dc:creator>openpyxl</dc:creator>
  <dc:description/>
  <dc:language>en-US</dc:language>
  <cp:lastModifiedBy/>
  <dcterms:modified xsi:type="dcterms:W3CDTF">2026-04-17T14:11:43Z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